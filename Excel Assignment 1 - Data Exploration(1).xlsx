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EXCEL ASSIGNMENT 1 IN ENTRI\"/>
    </mc:Choice>
  </mc:AlternateContent>
  <xr:revisionPtr revIDLastSave="0" documentId="8_{7F351281-1854-4460-86AD-428F9EFB6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4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L12" i="1"/>
  <c r="L1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9" i="1"/>
  <c r="L10" i="1"/>
  <c r="L6" i="1"/>
  <c r="L5" i="1"/>
</calcChain>
</file>

<file path=xl/sharedStrings.xml><?xml version="1.0" encoding="utf-8"?>
<sst xmlns="http://schemas.openxmlformats.org/spreadsheetml/2006/main" count="166" uniqueCount="113">
  <si>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</si>
  <si>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</si>
  <si>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</si>
  <si>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</si>
  <si>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</si>
  <si>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</si>
  <si>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</si>
  <si>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</si>
  <si>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</si>
  <si>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</si>
  <si>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</si>
  <si>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</si>
  <si>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</si>
  <si>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</si>
  <si>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</si>
  <si>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</si>
  <si>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</si>
  <si>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</si>
  <si>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</si>
  <si>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</si>
  <si>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</si>
  <si>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</si>
  <si>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</si>
  <si>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</si>
  <si>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</si>
  <si>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</si>
  <si>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</si>
  <si>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</si>
  <si>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</si>
  <si>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</si>
  <si>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</si>
  <si>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</si>
  <si>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</si>
  <si>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</si>
  <si>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</si>
  <si>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</si>
  <si>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</si>
  <si>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</si>
  <si>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</si>
  <si>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</si>
  <si>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</si>
  <si>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</si>
  <si>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</si>
  <si>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</si>
  <si>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</si>
  <si>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</si>
  <si>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</si>
  <si>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</si>
  <si>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</si>
  <si>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</si>
  <si>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</si>
  <si>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</si>
  <si>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</si>
  <si>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</si>
  <si>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</si>
  <si>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</si>
  <si>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</si>
  <si>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</si>
  <si>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</si>
  <si>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</si>
  <si>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</si>
  <si>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</si>
  <si>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</si>
  <si>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</si>
  <si>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</si>
  <si>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</si>
  <si>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</si>
  <si>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</si>
  <si>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</si>
  <si>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</si>
  <si>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</si>
  <si>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</si>
  <si>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</si>
  <si>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</si>
  <si>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</si>
  <si>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</si>
  <si>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</si>
  <si>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</si>
  <si>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</si>
  <si>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</si>
  <si>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</si>
  <si>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</si>
  <si>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</si>
  <si>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</si>
  <si>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</si>
  <si>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</si>
  <si>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</si>
  <si>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</si>
  <si>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</si>
  <si>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</si>
  <si>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</si>
  <si>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</si>
  <si>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</si>
  <si>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</si>
  <si>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</si>
  <si>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</si>
  <si>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OBSERVATION</t>
  </si>
  <si>
    <t>MINIMUM</t>
  </si>
  <si>
    <t>MAXIMUM</t>
  </si>
  <si>
    <t>Price Range</t>
  </si>
  <si>
    <t>TOTAL PRICE OF PRODUCT IN THE ELECTRONIC CATEGORY</t>
  </si>
  <si>
    <t>NUMBER OF PRODUCT WITH PRICE LESS THAN 100</t>
  </si>
  <si>
    <t>DAY</t>
  </si>
  <si>
    <t>MONTH</t>
  </si>
  <si>
    <t>COUNTRY CODE</t>
  </si>
  <si>
    <t>6 TOTAL PRICE OF PRODUCT IN THE ELECTRONIC CATEGORY</t>
  </si>
  <si>
    <t>7 NUMBER OF PRODUCT WITH PRICE LESS THAN 100</t>
  </si>
  <si>
    <t>8 Day, Month, and Country Code were successfully extracted from the product ID using text function</t>
  </si>
  <si>
    <t xml:space="preserve">1 Total Price Of All Products </t>
  </si>
  <si>
    <t>2 How Many Products Exist In The Dataset.</t>
  </si>
  <si>
    <t>3 Average Price Of The Products</t>
  </si>
  <si>
    <t>4 Minimum Price Among All Products</t>
  </si>
  <si>
    <t>5 Maximum Price Among All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</si>
</sst>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  <font>
      <b/>
      <sz val="10"/>
      <color rgb="FF00B05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B7E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4" borderId="1" xfId="0" applyFill="1" applyBorder="1"/>
    <xf numFmtId="0" fontId="0" fillId="5" borderId="0" xfId="0" applyFill="1"/>
    <xf numFmtId="0" fontId="3" fillId="5" borderId="1" xfId="0" applyFont="1" applyFill="1" applyBorder="1"/>
    <xf numFmtId="0" fontId="0" fillId="5" borderId="1" xfId="0" applyFill="1" applyBorder="1"/>
    <xf numFmtId="0" fontId="5" fillId="0" borderId="0" xfId="0" applyFont="1"/>
    <xf numFmtId="0" fontId="3" fillId="6" borderId="0" xfId="0" applyFont="1" applyFill="1"/>
    <xf numFmtId="0" fontId="0" fillId="6" borderId="0" xfId="0" applyFill="1"/>
    <xf numFmtId="0" fontId="2" fillId="3" borderId="1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2" fillId="0" borderId="1" xfId="0" applyFont="1" applyBorder="1"/>
    <xf numFmtId="0" fontId="2" fillId="3" borderId="1" xfId="0" applyNumberFormat="1" applyFont="1" applyFill="1" applyBorder="1"/>
    <xf numFmtId="0" fontId="2" fillId="3" borderId="3" xfId="0" applyNumberFormat="1" applyFont="1" applyFill="1" applyBorder="1"/>
    <xf numFmtId="0" fontId="2" fillId="3" borderId="4" xfId="0" applyNumberFormat="1" applyFont="1" applyFill="1" applyBorder="1"/>
    <xf numFmtId="0" fontId="3" fillId="5" borderId="0" xfId="0" applyFont="1" applyFill="1"/>
    <xf numFmtId="0" fontId="0" fillId="7" borderId="0" xfId="0" applyFill="1"/>
    <xf numFmtId="0" fontId="6" fillId="0" borderId="0" xfId="0" applyFont="1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colors>
    <mruColors>
      <color rgb="FFEC4A97"/>
      <color rgb="FFFBB7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3</xdr:col>
      <xdr:colOff>548740</xdr:colOff>
      <xdr:row>9</xdr:row>
      <xdr:rowOff>22891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848E6A-36F5-45AE-51B7-F7BC73DF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173480"/>
          <a:ext cx="1158340" cy="35817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12</xdr:row>
      <xdr:rowOff>0</xdr:rowOff>
    </xdr:from>
    <xdr:to>
      <xdr:col>3</xdr:col>
      <xdr:colOff>594361</xdr:colOff>
      <xdr:row>14</xdr:row>
      <xdr:rowOff>60994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BDCEFC-8CA3-67E4-F25E-F35463B9A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1" y="2011680"/>
          <a:ext cx="1203960" cy="396274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18</xdr:row>
      <xdr:rowOff>0</xdr:rowOff>
    </xdr:from>
    <xdr:to>
      <xdr:col>4</xdr:col>
      <xdr:colOff>83936</xdr:colOff>
      <xdr:row>20</xdr:row>
      <xdr:rowOff>22891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7C1A3E-2A09-6C23-8645-0ABCD1D2F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3017520"/>
          <a:ext cx="1333616" cy="3581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495396</xdr:colOff>
      <xdr:row>26</xdr:row>
      <xdr:rowOff>15270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761003-66E0-BAD4-0C8B-8A060BA7A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023360"/>
          <a:ext cx="1104996" cy="350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472534</xdr:colOff>
      <xdr:row>32</xdr:row>
      <xdr:rowOff>15270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2A6BA8-C16E-D9A7-0694-F179711C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029200"/>
          <a:ext cx="1082134" cy="350550"/>
        </a:xfrm>
        <a:prstGeom prst="rect">
          <a:avLst/>
        </a:prstGeom>
      </xdr:spPr>
    </xdr:pic>
    <xdr:clientData/>
  </xdr:twoCellAnchor>
  <xdr:twoCellAnchor editAs="oneCell">
    <xdr:from>
      <xdr:col>10</xdr:col>
      <xdr:colOff>845820</xdr:colOff>
      <xdr:row>6</xdr:row>
      <xdr:rowOff>160020</xdr:rowOff>
    </xdr:from>
    <xdr:to>
      <xdr:col>10</xdr:col>
      <xdr:colOff>3177742</xdr:colOff>
      <xdr:row>9</xdr:row>
      <xdr:rowOff>15271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CADF6F-2722-82F4-F0D1-6FE9DA44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1820" y="1165860"/>
          <a:ext cx="2331922" cy="358171"/>
        </a:xfrm>
        <a:prstGeom prst="rect">
          <a:avLst/>
        </a:prstGeom>
      </xdr:spPr>
    </xdr:pic>
    <xdr:clientData/>
  </xdr:twoCellAnchor>
  <xdr:twoCellAnchor editAs="oneCell">
    <xdr:from>
      <xdr:col>10</xdr:col>
      <xdr:colOff>906780</xdr:colOff>
      <xdr:row>12</xdr:row>
      <xdr:rowOff>0</xdr:rowOff>
    </xdr:from>
    <xdr:to>
      <xdr:col>10</xdr:col>
      <xdr:colOff>2910840</xdr:colOff>
      <xdr:row>13</xdr:row>
      <xdr:rowOff>137186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0B169D-AA0F-0727-1C2B-47A621FEB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2780" y="2011680"/>
          <a:ext cx="2004060" cy="304826"/>
        </a:xfrm>
        <a:prstGeom prst="rect">
          <a:avLst/>
        </a:prstGeom>
      </xdr:spPr>
    </xdr:pic>
    <xdr:clientData/>
  </xdr:twoCellAnchor>
  <xdr:twoCellAnchor editAs="oneCell">
    <xdr:from>
      <xdr:col>10</xdr:col>
      <xdr:colOff>274320</xdr:colOff>
      <xdr:row>21</xdr:row>
      <xdr:rowOff>53340</xdr:rowOff>
    </xdr:from>
    <xdr:to>
      <xdr:col>10</xdr:col>
      <xdr:colOff>1120213</xdr:colOff>
      <xdr:row>22</xdr:row>
      <xdr:rowOff>129561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17D5940-1035-868F-A41B-A320F14B1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0320" y="3573780"/>
          <a:ext cx="845893" cy="243861"/>
        </a:xfrm>
        <a:prstGeom prst="rect">
          <a:avLst/>
        </a:prstGeom>
      </xdr:spPr>
    </xdr:pic>
    <xdr:clientData/>
  </xdr:twoCellAnchor>
  <xdr:twoCellAnchor editAs="oneCell">
    <xdr:from>
      <xdr:col>10</xdr:col>
      <xdr:colOff>236220</xdr:colOff>
      <xdr:row>25</xdr:row>
      <xdr:rowOff>99060</xdr:rowOff>
    </xdr:from>
    <xdr:to>
      <xdr:col>10</xdr:col>
      <xdr:colOff>1196423</xdr:colOff>
      <xdr:row>27</xdr:row>
      <xdr:rowOff>83848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0199565-0D03-8C0C-900B-A15D2C00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220" y="4290060"/>
          <a:ext cx="960203" cy="320068"/>
        </a:xfrm>
        <a:prstGeom prst="rect">
          <a:avLst/>
        </a:prstGeom>
      </xdr:spPr>
    </xdr:pic>
    <xdr:clientData/>
  </xdr:twoCellAnchor>
  <xdr:twoCellAnchor editAs="oneCell">
    <xdr:from>
      <xdr:col>10</xdr:col>
      <xdr:colOff>220980</xdr:colOff>
      <xdr:row>31</xdr:row>
      <xdr:rowOff>7620</xdr:rowOff>
    </xdr:from>
    <xdr:to>
      <xdr:col>10</xdr:col>
      <xdr:colOff>1303114</xdr:colOff>
      <xdr:row>33</xdr:row>
      <xdr:rowOff>22890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59B0862-679E-D290-7447-09DEEEFC7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6980" y="5204460"/>
          <a:ext cx="1082134" cy="350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D7289-C8A0-41BC-978B-72EDB2BBB914}" name="Table1" displayName="Table1" ref="B1:J35" totalsRowShown="0" headerRowDxfId="9" dataDxfId="10">
  <autoFilter ref="B1:J35" xr:uid="{B77D7289-C8A0-41BC-978B-72EDB2BBB914}"/>
  <tableColumns count="9">
    <tableColumn id="1" xr3:uid="{07151D38-3E84-4A0B-B2BE-A162514644B4}" name="Product Name" dataDxfId="8"/>
    <tableColumn id="2" xr3:uid="{DC48EDCD-CAB2-4607-B72A-74F8D3A5790F}" name="Brand Name" dataDxfId="7"/>
    <tableColumn id="3" xr3:uid="{000AB491-EA7B-4F83-A186-F060A638F069}" name="Price ($)" dataDxfId="6"/>
    <tableColumn id="4" xr3:uid="{5AC9CDBD-7C8C-4697-9929-07540A49CD72}" name="Quantity" dataDxfId="5"/>
    <tableColumn id="5" xr3:uid="{B622E60D-0AC5-47F3-8899-F5F98989AB1D}" name="Category" dataDxfId="4"/>
    <tableColumn id="6" xr3:uid="{FD079D18-F4C6-4C35-AED7-246A901C61E7}" name="Price Range" dataDxfId="3">
      <calculatedColumnFormula>IF(D2&gt;=500,"HIGH PRICE","STANDARD PRICE")</calculatedColumnFormula>
    </tableColumn>
    <tableColumn id="7" xr3:uid="{1B84F9D0-3151-46AC-AA47-52F630909D61}" name="DAY" dataDxfId="2">
      <calculatedColumnFormula>LEFT(A2,2)</calculatedColumnFormula>
    </tableColumn>
    <tableColumn id="9" xr3:uid="{F6BC006D-80BF-4AC4-A706-329003972808}" name="MONTH" dataDxfId="1">
      <calculatedColumnFormula>MID(A2,4,3)</calculatedColumnFormula>
    </tableColumn>
    <tableColumn id="11" xr3:uid="{159C5C80-6F75-403A-B24B-580E93321235}" name="COUNTRY CODE" dataDxfId="0">
      <calculatedColumnFormula>RIGHT(A2,2)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topLeftCell="C1" workbookViewId="0">
      <selection activeCell="K20" sqref="K20"/>
    </sheetView>
  </sheetViews>
  <sheetFormatPr defaultColWidth="12.6640625" defaultRowHeight="15" customHeight="1" x14ac:dyDescent="0.25"/>
  <cols>
    <col min="1" max="1" width="10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17" bestFit="1" customWidth="1"/>
    <col min="8" max="8" width="9.109375" bestFit="1" customWidth="1"/>
    <col min="9" max="9" width="12.109375" bestFit="1" customWidth="1"/>
    <col min="10" max="10" width="20.44140625" bestFit="1" customWidth="1"/>
    <col min="11" max="11" width="54.88671875" bestFit="1" customWidth="1"/>
    <col min="12" max="12" width="12" bestFit="1" customWidth="1"/>
    <col min="13" max="13" width="54.88671875" bestFit="1" customWidth="1"/>
    <col min="14" max="14" width="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</v>
      </c>
      <c r="H1" s="1" t="s">
        <v>102</v>
      </c>
      <c r="I1" s="1" t="s">
        <v>103</v>
      </c>
      <c r="J1" s="1" t="s">
        <v>104</v>
      </c>
    </row>
    <row r="2" spans="1:12" ht="15.75" customHeight="1" x14ac:dyDescent="0.25">
      <c r="A2" s="2" t="s">
        <v>6</v>
      </c>
      <c r="B2" s="15" t="s">
        <v>7</v>
      </c>
      <c r="C2" s="15" t="s">
        <v>8</v>
      </c>
      <c r="D2" s="15">
        <v>1000</v>
      </c>
      <c r="E2" s="15">
        <v>30</v>
      </c>
      <c r="F2" s="15" t="s">
        <v>9</v>
      </c>
      <c r="G2" s="12" t="str">
        <f t="shared" ref="G2:G35" si="0">IF(D2&gt;=500,"HIGH PRICE","STANDARD PRICE")</f>
        <v>HIGH PRICE</v>
      </c>
      <c r="H2" s="12" t="str">
        <f t="shared" ref="H2:H35" si="1">LEFT(A2,2)</f>
        <v>28</v>
      </c>
      <c r="I2" s="12" t="str">
        <f t="shared" ref="I2:I35" si="2">MID(A2,4,3)</f>
        <v>JAN</v>
      </c>
      <c r="J2" s="17" t="str">
        <f t="shared" ref="J2:J35" si="3">RIGHT(A2,2)</f>
        <v>US</v>
      </c>
      <c r="K2" s="9" t="s">
        <v>96</v>
      </c>
    </row>
    <row r="3" spans="1:12" ht="15.75" customHeight="1" x14ac:dyDescent="0.25">
      <c r="A3" s="3" t="s">
        <v>10</v>
      </c>
      <c r="B3" s="12" t="s">
        <v>11</v>
      </c>
      <c r="C3" s="12" t="s">
        <v>12</v>
      </c>
      <c r="D3" s="12">
        <v>80</v>
      </c>
      <c r="E3" s="12">
        <v>15</v>
      </c>
      <c r="F3" s="12" t="s">
        <v>13</v>
      </c>
      <c r="G3" s="12" t="str">
        <f t="shared" si="0"/>
        <v>STANDARD PRICE</v>
      </c>
      <c r="H3" s="12" t="str">
        <f t="shared" si="1"/>
        <v>15</v>
      </c>
      <c r="I3" s="12" t="str">
        <f t="shared" si="2"/>
        <v>FEB</v>
      </c>
      <c r="J3" s="16" t="str">
        <f t="shared" si="3"/>
        <v>US</v>
      </c>
    </row>
    <row r="4" spans="1:12" ht="15.75" customHeight="1" x14ac:dyDescent="0.25">
      <c r="A4" s="2" t="s">
        <v>14</v>
      </c>
      <c r="B4" s="15" t="s">
        <v>15</v>
      </c>
      <c r="C4" s="15" t="s">
        <v>16</v>
      </c>
      <c r="D4" s="15">
        <v>130</v>
      </c>
      <c r="E4" s="15">
        <v>40</v>
      </c>
      <c r="F4" s="15" t="s">
        <v>17</v>
      </c>
      <c r="G4" s="12" t="str">
        <f t="shared" si="0"/>
        <v>STANDARD PRICE</v>
      </c>
      <c r="H4" s="12" t="str">
        <f t="shared" si="1"/>
        <v>03</v>
      </c>
      <c r="I4" s="12" t="str">
        <f t="shared" si="2"/>
        <v>MAR</v>
      </c>
      <c r="J4" s="16" t="str">
        <f t="shared" si="3"/>
        <v>US</v>
      </c>
      <c r="K4" s="13" t="s">
        <v>93</v>
      </c>
      <c r="L4" s="5">
        <f>SUM(D2:D35)</f>
        <v>10100</v>
      </c>
    </row>
    <row r="5" spans="1:12" ht="15.75" customHeight="1" x14ac:dyDescent="0.25">
      <c r="A5" s="3" t="s">
        <v>18</v>
      </c>
      <c r="B5" s="12" t="s">
        <v>19</v>
      </c>
      <c r="C5" s="12" t="s">
        <v>20</v>
      </c>
      <c r="D5" s="12">
        <v>900</v>
      </c>
      <c r="E5" s="12">
        <v>25</v>
      </c>
      <c r="F5" s="12" t="s">
        <v>9</v>
      </c>
      <c r="G5" s="12" t="str">
        <f t="shared" si="0"/>
        <v>HIGH PRICE</v>
      </c>
      <c r="H5" s="12" t="str">
        <f t="shared" si="1"/>
        <v>11</v>
      </c>
      <c r="I5" s="12" t="str">
        <f t="shared" si="2"/>
        <v>APR</v>
      </c>
      <c r="J5" s="16" t="str">
        <f t="shared" si="3"/>
        <v>US</v>
      </c>
      <c r="K5" s="13" t="s">
        <v>94</v>
      </c>
      <c r="L5" s="5">
        <f>COUNT(D2:D35)</f>
        <v>34</v>
      </c>
    </row>
    <row r="6" spans="1:12" ht="15.75" customHeight="1" x14ac:dyDescent="0.25">
      <c r="A6" s="2" t="s">
        <v>21</v>
      </c>
      <c r="B6" s="15" t="s">
        <v>22</v>
      </c>
      <c r="C6" s="15" t="s">
        <v>23</v>
      </c>
      <c r="D6" s="15">
        <v>70</v>
      </c>
      <c r="E6" s="15">
        <v>20</v>
      </c>
      <c r="F6" s="15" t="s">
        <v>24</v>
      </c>
      <c r="G6" s="12" t="str">
        <f t="shared" si="0"/>
        <v>STANDARD PRICE</v>
      </c>
      <c r="H6" s="12" t="str">
        <f t="shared" si="1"/>
        <v>22</v>
      </c>
      <c r="I6" s="12" t="str">
        <f t="shared" si="2"/>
        <v>MAY</v>
      </c>
      <c r="J6" s="16" t="str">
        <f t="shared" si="3"/>
        <v>US</v>
      </c>
      <c r="K6" s="13" t="s">
        <v>95</v>
      </c>
      <c r="L6" s="5">
        <f>AVERAGE(D2:D35)</f>
        <v>297.05882352941177</v>
      </c>
    </row>
    <row r="7" spans="1:12" ht="15.75" customHeight="1" x14ac:dyDescent="0.25">
      <c r="A7" s="3" t="s">
        <v>25</v>
      </c>
      <c r="B7" s="12" t="s">
        <v>26</v>
      </c>
      <c r="C7" s="12" t="s">
        <v>27</v>
      </c>
      <c r="D7" s="12">
        <v>200</v>
      </c>
      <c r="E7" s="12">
        <v>45</v>
      </c>
      <c r="F7" s="12" t="s">
        <v>9</v>
      </c>
      <c r="G7" s="12" t="str">
        <f t="shared" si="0"/>
        <v>STANDARD PRICE</v>
      </c>
      <c r="H7" s="12" t="str">
        <f t="shared" si="1"/>
        <v>07</v>
      </c>
      <c r="I7" s="12" t="str">
        <f t="shared" si="2"/>
        <v>JUN</v>
      </c>
      <c r="J7" s="16" t="str">
        <f t="shared" si="3"/>
        <v>UK</v>
      </c>
    </row>
    <row r="8" spans="1:12" ht="15.75" customHeight="1" x14ac:dyDescent="0.25">
      <c r="A8" s="2" t="s">
        <v>28</v>
      </c>
      <c r="B8" s="15" t="s">
        <v>29</v>
      </c>
      <c r="C8" s="15" t="s">
        <v>30</v>
      </c>
      <c r="D8" s="15">
        <v>30</v>
      </c>
      <c r="E8" s="15">
        <v>5</v>
      </c>
      <c r="F8" s="15" t="s">
        <v>13</v>
      </c>
      <c r="G8" s="12" t="str">
        <f t="shared" si="0"/>
        <v>STANDARD PRICE</v>
      </c>
      <c r="H8" s="12" t="str">
        <f t="shared" si="1"/>
        <v>19</v>
      </c>
      <c r="I8" s="12" t="str">
        <f t="shared" si="2"/>
        <v>JUL</v>
      </c>
      <c r="J8" s="16" t="str">
        <f t="shared" si="3"/>
        <v>UK</v>
      </c>
    </row>
    <row r="9" spans="1:12" ht="15.75" customHeight="1" x14ac:dyDescent="0.25">
      <c r="A9" s="3" t="s">
        <v>31</v>
      </c>
      <c r="B9" s="12" t="s">
        <v>32</v>
      </c>
      <c r="C9" s="12" t="s">
        <v>33</v>
      </c>
      <c r="D9" s="12">
        <v>90</v>
      </c>
      <c r="E9" s="12">
        <v>35</v>
      </c>
      <c r="F9" s="12" t="s">
        <v>17</v>
      </c>
      <c r="G9" s="12" t="str">
        <f t="shared" si="0"/>
        <v>STANDARD PRICE</v>
      </c>
      <c r="H9" s="12" t="str">
        <f t="shared" si="1"/>
        <v>23</v>
      </c>
      <c r="I9" s="12" t="str">
        <f t="shared" si="2"/>
        <v>AUG</v>
      </c>
      <c r="J9" s="16" t="str">
        <f t="shared" si="3"/>
        <v>UK</v>
      </c>
      <c r="K9" s="14" t="s">
        <v>97</v>
      </c>
      <c r="L9" s="8">
        <f>MIN(D2:D35)</f>
        <v>30</v>
      </c>
    </row>
    <row r="10" spans="1:12" ht="15.75" customHeight="1" x14ac:dyDescent="0.25">
      <c r="A10" s="2" t="s">
        <v>34</v>
      </c>
      <c r="B10" s="15" t="s">
        <v>35</v>
      </c>
      <c r="C10" s="15" t="s">
        <v>36</v>
      </c>
      <c r="D10" s="15">
        <v>500</v>
      </c>
      <c r="E10" s="15">
        <v>50</v>
      </c>
      <c r="F10" s="15" t="s">
        <v>9</v>
      </c>
      <c r="G10" s="12" t="str">
        <f t="shared" si="0"/>
        <v>HIGH PRICE</v>
      </c>
      <c r="H10" s="12" t="str">
        <f t="shared" si="1"/>
        <v>05</v>
      </c>
      <c r="I10" s="12" t="str">
        <f t="shared" si="2"/>
        <v>SEP</v>
      </c>
      <c r="J10" s="16" t="str">
        <f t="shared" si="3"/>
        <v>UK</v>
      </c>
      <c r="K10" s="14" t="s">
        <v>98</v>
      </c>
      <c r="L10" s="8">
        <f>MAX(D2:D35)</f>
        <v>1000</v>
      </c>
    </row>
    <row r="11" spans="1:12" ht="15.75" customHeight="1" x14ac:dyDescent="0.25">
      <c r="A11" s="3" t="s">
        <v>37</v>
      </c>
      <c r="B11" s="12" t="s">
        <v>38</v>
      </c>
      <c r="C11" s="12" t="s">
        <v>39</v>
      </c>
      <c r="D11" s="12">
        <v>130</v>
      </c>
      <c r="E11" s="12">
        <v>10</v>
      </c>
      <c r="F11" s="12" t="s">
        <v>24</v>
      </c>
      <c r="G11" s="12" t="str">
        <f t="shared" si="0"/>
        <v>STANDARD PRICE</v>
      </c>
      <c r="H11" s="12" t="str">
        <f t="shared" si="1"/>
        <v>14</v>
      </c>
      <c r="I11" s="12" t="str">
        <f t="shared" si="2"/>
        <v>OCT</v>
      </c>
      <c r="J11" s="16" t="str">
        <f t="shared" si="3"/>
        <v>UK</v>
      </c>
    </row>
    <row r="12" spans="1:12" ht="15.75" customHeight="1" x14ac:dyDescent="0.25">
      <c r="A12" s="2" t="s">
        <v>40</v>
      </c>
      <c r="B12" s="15" t="s">
        <v>7</v>
      </c>
      <c r="C12" s="15" t="s">
        <v>41</v>
      </c>
      <c r="D12" s="15">
        <v>950</v>
      </c>
      <c r="E12" s="15">
        <v>25</v>
      </c>
      <c r="F12" s="15" t="s">
        <v>9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JUN</v>
      </c>
      <c r="J12" s="16" t="str">
        <f t="shared" si="3"/>
        <v>IN</v>
      </c>
      <c r="K12" s="10" t="s">
        <v>100</v>
      </c>
      <c r="L12" s="11">
        <f>SUMIF(F2:F35,"Electronics",D2:D35)</f>
        <v>8050</v>
      </c>
    </row>
    <row r="13" spans="1:12" ht="15.75" customHeight="1" x14ac:dyDescent="0.25">
      <c r="A13" s="3" t="s">
        <v>42</v>
      </c>
      <c r="B13" s="12" t="s">
        <v>11</v>
      </c>
      <c r="C13" s="12" t="s">
        <v>30</v>
      </c>
      <c r="D13" s="12">
        <v>90</v>
      </c>
      <c r="E13" s="12">
        <v>40</v>
      </c>
      <c r="F13" s="12" t="s">
        <v>13</v>
      </c>
      <c r="G13" s="12" t="str">
        <f t="shared" si="0"/>
        <v>STANDARD PRICE</v>
      </c>
      <c r="H13" s="12" t="str">
        <f t="shared" si="1"/>
        <v>25</v>
      </c>
      <c r="I13" s="12" t="str">
        <f t="shared" si="2"/>
        <v>NOV</v>
      </c>
      <c r="J13" s="16" t="str">
        <f t="shared" si="3"/>
        <v>AU</v>
      </c>
      <c r="K13" s="10" t="s">
        <v>101</v>
      </c>
      <c r="L13" s="11">
        <f>COUNTIF(D2:D35,"&lt;100")</f>
        <v>11</v>
      </c>
    </row>
    <row r="14" spans="1:12" ht="15.75" customHeight="1" x14ac:dyDescent="0.25">
      <c r="A14" s="2" t="s">
        <v>43</v>
      </c>
      <c r="B14" s="15" t="s">
        <v>15</v>
      </c>
      <c r="C14" s="15" t="s">
        <v>44</v>
      </c>
      <c r="D14" s="15">
        <v>120</v>
      </c>
      <c r="E14" s="15">
        <v>35</v>
      </c>
      <c r="F14" s="15" t="s">
        <v>17</v>
      </c>
      <c r="G14" s="12" t="str">
        <f t="shared" si="0"/>
        <v>STANDARD PRICE</v>
      </c>
      <c r="H14" s="12" t="str">
        <f t="shared" si="1"/>
        <v>08</v>
      </c>
      <c r="I14" s="12" t="str">
        <f t="shared" si="2"/>
        <v>DEC</v>
      </c>
      <c r="J14" s="16" t="str">
        <f t="shared" si="3"/>
        <v>DE</v>
      </c>
    </row>
    <row r="15" spans="1:12" ht="15.75" customHeight="1" x14ac:dyDescent="0.25">
      <c r="A15" s="3" t="s">
        <v>45</v>
      </c>
      <c r="B15" s="12" t="s">
        <v>46</v>
      </c>
      <c r="C15" s="12" t="s">
        <v>47</v>
      </c>
      <c r="D15" s="12">
        <v>150</v>
      </c>
      <c r="E15" s="12">
        <v>15</v>
      </c>
      <c r="F15" s="12" t="s">
        <v>9</v>
      </c>
      <c r="G15" s="12" t="str">
        <f t="shared" si="0"/>
        <v>STANDARD PRICE</v>
      </c>
      <c r="H15" s="12" t="str">
        <f t="shared" si="1"/>
        <v>18</v>
      </c>
      <c r="I15" s="12" t="str">
        <f t="shared" si="2"/>
        <v>FEB</v>
      </c>
      <c r="J15" s="16" t="str">
        <f t="shared" si="3"/>
        <v>CA</v>
      </c>
    </row>
    <row r="16" spans="1:12" ht="15.75" customHeight="1" x14ac:dyDescent="0.25">
      <c r="A16" s="2" t="s">
        <v>48</v>
      </c>
      <c r="B16" s="15" t="s">
        <v>26</v>
      </c>
      <c r="C16" s="15" t="s">
        <v>49</v>
      </c>
      <c r="D16" s="15">
        <v>250</v>
      </c>
      <c r="E16" s="15">
        <v>20</v>
      </c>
      <c r="F16" s="15" t="s">
        <v>9</v>
      </c>
      <c r="G16" s="12" t="str">
        <f t="shared" si="0"/>
        <v>STANDARD PRICE</v>
      </c>
      <c r="H16" s="12" t="str">
        <f t="shared" si="1"/>
        <v>16</v>
      </c>
      <c r="I16" s="12" t="str">
        <f t="shared" si="2"/>
        <v>APR</v>
      </c>
      <c r="J16" s="16" t="str">
        <f t="shared" si="3"/>
        <v>ES</v>
      </c>
    </row>
    <row r="17" spans="1:10" ht="15.75" customHeight="1" x14ac:dyDescent="0.25">
      <c r="A17" s="3" t="s">
        <v>50</v>
      </c>
      <c r="B17" s="12" t="s">
        <v>51</v>
      </c>
      <c r="C17" s="12" t="s">
        <v>52</v>
      </c>
      <c r="D17" s="12">
        <v>50</v>
      </c>
      <c r="E17" s="12">
        <v>35</v>
      </c>
      <c r="F17" s="12" t="s">
        <v>53</v>
      </c>
      <c r="G17" s="12" t="str">
        <f t="shared" si="0"/>
        <v>STANDARD PRICE</v>
      </c>
      <c r="H17" s="12" t="str">
        <f t="shared" si="1"/>
        <v>21</v>
      </c>
      <c r="I17" s="12" t="str">
        <f t="shared" si="2"/>
        <v>AUG</v>
      </c>
      <c r="J17" s="16" t="str">
        <f t="shared" si="3"/>
        <v>CA</v>
      </c>
    </row>
    <row r="18" spans="1:10" ht="15.75" customHeight="1" x14ac:dyDescent="0.25">
      <c r="A18" s="2" t="s">
        <v>54</v>
      </c>
      <c r="B18" s="15" t="s">
        <v>46</v>
      </c>
      <c r="C18" s="15" t="s">
        <v>55</v>
      </c>
      <c r="D18" s="15">
        <v>160</v>
      </c>
      <c r="E18" s="15">
        <v>15</v>
      </c>
      <c r="F18" s="15" t="s">
        <v>9</v>
      </c>
      <c r="G18" s="12" t="str">
        <f t="shared" si="0"/>
        <v>STANDARD PRICE</v>
      </c>
      <c r="H18" s="12" t="str">
        <f t="shared" si="1"/>
        <v>20</v>
      </c>
      <c r="I18" s="12" t="str">
        <f t="shared" si="2"/>
        <v>AUG</v>
      </c>
      <c r="J18" s="16" t="str">
        <f t="shared" si="3"/>
        <v>CN</v>
      </c>
    </row>
    <row r="19" spans="1:10" ht="15.75" customHeight="1" x14ac:dyDescent="0.25">
      <c r="A19" s="3" t="s">
        <v>56</v>
      </c>
      <c r="B19" s="12" t="s">
        <v>7</v>
      </c>
      <c r="C19" s="12" t="s">
        <v>57</v>
      </c>
      <c r="D19" s="12">
        <v>980</v>
      </c>
      <c r="E19" s="12">
        <v>10</v>
      </c>
      <c r="F19" s="12" t="s">
        <v>9</v>
      </c>
      <c r="G19" s="12" t="str">
        <f t="shared" si="0"/>
        <v>HIGH PRICE</v>
      </c>
      <c r="H19" s="12" t="str">
        <f t="shared" si="1"/>
        <v>27</v>
      </c>
      <c r="I19" s="12" t="str">
        <f t="shared" si="2"/>
        <v>JAN</v>
      </c>
      <c r="J19" s="16" t="str">
        <f t="shared" si="3"/>
        <v>IT</v>
      </c>
    </row>
    <row r="20" spans="1:10" ht="15.75" customHeight="1" x14ac:dyDescent="0.25">
      <c r="A20" s="2" t="s">
        <v>58</v>
      </c>
      <c r="B20" s="15" t="s">
        <v>59</v>
      </c>
      <c r="C20" s="15" t="s">
        <v>60</v>
      </c>
      <c r="D20" s="15">
        <v>150</v>
      </c>
      <c r="E20" s="15">
        <v>15</v>
      </c>
      <c r="F20" s="15" t="s">
        <v>13</v>
      </c>
      <c r="G20" s="12" t="str">
        <f t="shared" si="0"/>
        <v>STANDARD PRICE</v>
      </c>
      <c r="H20" s="12" t="str">
        <f t="shared" si="1"/>
        <v>01</v>
      </c>
      <c r="I20" s="12" t="str">
        <f t="shared" si="2"/>
        <v>MAR</v>
      </c>
      <c r="J20" s="16" t="str">
        <f t="shared" si="3"/>
        <v>UK</v>
      </c>
    </row>
    <row r="21" spans="1:10" ht="15.75" customHeight="1" x14ac:dyDescent="0.25">
      <c r="A21" s="3" t="s">
        <v>61</v>
      </c>
      <c r="B21" s="12" t="s">
        <v>62</v>
      </c>
      <c r="C21" s="12" t="s">
        <v>63</v>
      </c>
      <c r="D21" s="12">
        <v>200</v>
      </c>
      <c r="E21" s="12">
        <v>10</v>
      </c>
      <c r="F21" s="12" t="s">
        <v>24</v>
      </c>
      <c r="G21" s="12" t="str">
        <f t="shared" si="0"/>
        <v>STANDARD PRICE</v>
      </c>
      <c r="H21" s="12" t="str">
        <f t="shared" si="1"/>
        <v>14</v>
      </c>
      <c r="I21" s="12" t="str">
        <f t="shared" si="2"/>
        <v>AUG</v>
      </c>
      <c r="J21" s="16" t="str">
        <f t="shared" si="3"/>
        <v>US</v>
      </c>
    </row>
    <row r="22" spans="1:10" ht="15.75" customHeight="1" x14ac:dyDescent="0.25">
      <c r="A22" s="2" t="s">
        <v>64</v>
      </c>
      <c r="B22" s="15" t="s">
        <v>65</v>
      </c>
      <c r="C22" s="15" t="s">
        <v>66</v>
      </c>
      <c r="D22" s="15">
        <v>700</v>
      </c>
      <c r="E22" s="15">
        <v>50</v>
      </c>
      <c r="F22" s="15" t="s">
        <v>9</v>
      </c>
      <c r="G22" s="12" t="str">
        <f t="shared" si="0"/>
        <v>HIGH PRICE</v>
      </c>
      <c r="H22" s="12" t="str">
        <f t="shared" si="1"/>
        <v>14</v>
      </c>
      <c r="I22" s="12" t="str">
        <f t="shared" si="2"/>
        <v>MAY</v>
      </c>
      <c r="J22" s="16" t="str">
        <f t="shared" si="3"/>
        <v>RU</v>
      </c>
    </row>
    <row r="23" spans="1:10" ht="15.75" customHeight="1" x14ac:dyDescent="0.25">
      <c r="A23" s="3" t="s">
        <v>67</v>
      </c>
      <c r="B23" s="12" t="s">
        <v>68</v>
      </c>
      <c r="C23" s="12" t="s">
        <v>69</v>
      </c>
      <c r="D23" s="12">
        <v>80</v>
      </c>
      <c r="E23" s="12">
        <v>20</v>
      </c>
      <c r="F23" s="12" t="s">
        <v>17</v>
      </c>
      <c r="G23" s="12" t="str">
        <f t="shared" si="0"/>
        <v>STANDARD PRICE</v>
      </c>
      <c r="H23" s="12" t="str">
        <f t="shared" si="1"/>
        <v>09</v>
      </c>
      <c r="I23" s="12" t="str">
        <f t="shared" si="2"/>
        <v>JAN</v>
      </c>
      <c r="J23" s="16" t="str">
        <f t="shared" si="3"/>
        <v>CA</v>
      </c>
    </row>
    <row r="24" spans="1:10" ht="15.75" customHeight="1" x14ac:dyDescent="0.25">
      <c r="A24" s="2" t="s">
        <v>70</v>
      </c>
      <c r="B24" s="15" t="s">
        <v>71</v>
      </c>
      <c r="C24" s="15" t="s">
        <v>72</v>
      </c>
      <c r="D24" s="15">
        <v>150</v>
      </c>
      <c r="E24" s="15">
        <v>30</v>
      </c>
      <c r="F24" s="15" t="s">
        <v>9</v>
      </c>
      <c r="G24" s="12" t="str">
        <f t="shared" si="0"/>
        <v>STANDARD PRICE</v>
      </c>
      <c r="H24" s="12" t="str">
        <f t="shared" si="1"/>
        <v>19</v>
      </c>
      <c r="I24" s="12" t="str">
        <f t="shared" si="2"/>
        <v>JUL</v>
      </c>
      <c r="J24" s="16" t="str">
        <f t="shared" si="3"/>
        <v>BR</v>
      </c>
    </row>
    <row r="25" spans="1:10" ht="15.75" customHeight="1" x14ac:dyDescent="0.25">
      <c r="A25" s="3" t="s">
        <v>50</v>
      </c>
      <c r="B25" s="12" t="s">
        <v>51</v>
      </c>
      <c r="C25" s="12" t="s">
        <v>52</v>
      </c>
      <c r="D25" s="12">
        <v>50</v>
      </c>
      <c r="E25" s="12">
        <v>35</v>
      </c>
      <c r="F25" s="12" t="s">
        <v>53</v>
      </c>
      <c r="G25" s="12" t="str">
        <f t="shared" si="0"/>
        <v>STANDARD PRICE</v>
      </c>
      <c r="H25" s="12" t="str">
        <f t="shared" si="1"/>
        <v>21</v>
      </c>
      <c r="I25" s="12" t="str">
        <f t="shared" si="2"/>
        <v>AUG</v>
      </c>
      <c r="J25" s="16" t="str">
        <f t="shared" si="3"/>
        <v>CA</v>
      </c>
    </row>
    <row r="26" spans="1:10" ht="15.75" customHeight="1" x14ac:dyDescent="0.25">
      <c r="A26" s="2" t="s">
        <v>73</v>
      </c>
      <c r="B26" s="15" t="s">
        <v>19</v>
      </c>
      <c r="C26" s="15" t="s">
        <v>74</v>
      </c>
      <c r="D26" s="15">
        <v>800</v>
      </c>
      <c r="E26" s="15">
        <v>45</v>
      </c>
      <c r="F26" s="15" t="s">
        <v>9</v>
      </c>
      <c r="G26" s="12" t="str">
        <f t="shared" si="0"/>
        <v>HIGH PRICE</v>
      </c>
      <c r="H26" s="12" t="str">
        <f t="shared" si="1"/>
        <v>29</v>
      </c>
      <c r="I26" s="12" t="str">
        <f t="shared" si="2"/>
        <v>SEP</v>
      </c>
      <c r="J26" s="16" t="str">
        <f t="shared" si="3"/>
        <v>CA</v>
      </c>
    </row>
    <row r="27" spans="1:10" ht="15.75" customHeight="1" x14ac:dyDescent="0.25">
      <c r="A27" s="3" t="s">
        <v>75</v>
      </c>
      <c r="B27" s="12" t="s">
        <v>59</v>
      </c>
      <c r="C27" s="12" t="s">
        <v>76</v>
      </c>
      <c r="D27" s="12">
        <v>130</v>
      </c>
      <c r="E27" s="12">
        <v>25</v>
      </c>
      <c r="F27" s="12" t="s">
        <v>13</v>
      </c>
      <c r="G27" s="12" t="str">
        <f t="shared" si="0"/>
        <v>STANDARD PRICE</v>
      </c>
      <c r="H27" s="12" t="str">
        <f t="shared" si="1"/>
        <v>03</v>
      </c>
      <c r="I27" s="12" t="str">
        <f t="shared" si="2"/>
        <v>JUN</v>
      </c>
      <c r="J27" s="16" t="str">
        <f t="shared" si="3"/>
        <v>CA</v>
      </c>
    </row>
    <row r="28" spans="1:10" ht="15.75" customHeight="1" x14ac:dyDescent="0.25">
      <c r="A28" s="2" t="s">
        <v>77</v>
      </c>
      <c r="B28" s="15" t="s">
        <v>32</v>
      </c>
      <c r="C28" s="15" t="s">
        <v>78</v>
      </c>
      <c r="D28" s="15">
        <v>400</v>
      </c>
      <c r="E28" s="15">
        <v>40</v>
      </c>
      <c r="F28" s="15" t="s">
        <v>17</v>
      </c>
      <c r="G28" s="12" t="str">
        <f t="shared" si="0"/>
        <v>STANDARD PRICE</v>
      </c>
      <c r="H28" s="12" t="str">
        <f t="shared" si="1"/>
        <v>11</v>
      </c>
      <c r="I28" s="12" t="str">
        <f t="shared" si="2"/>
        <v>JUL</v>
      </c>
      <c r="J28" s="16" t="str">
        <f t="shared" si="3"/>
        <v>CA</v>
      </c>
    </row>
    <row r="29" spans="1:10" ht="15.75" customHeight="1" x14ac:dyDescent="0.25">
      <c r="A29" s="3" t="s">
        <v>48</v>
      </c>
      <c r="B29" s="12" t="s">
        <v>26</v>
      </c>
      <c r="C29" s="12" t="s">
        <v>49</v>
      </c>
      <c r="D29" s="12">
        <v>230</v>
      </c>
      <c r="E29" s="12">
        <v>20</v>
      </c>
      <c r="F29" s="12" t="s">
        <v>9</v>
      </c>
      <c r="G29" s="12" t="str">
        <f t="shared" si="0"/>
        <v>STANDARD PRICE</v>
      </c>
      <c r="H29" s="12" t="str">
        <f t="shared" si="1"/>
        <v>16</v>
      </c>
      <c r="I29" s="12" t="str">
        <f t="shared" si="2"/>
        <v>APR</v>
      </c>
      <c r="J29" s="16" t="str">
        <f t="shared" si="3"/>
        <v>ES</v>
      </c>
    </row>
    <row r="30" spans="1:10" ht="15.75" customHeight="1" x14ac:dyDescent="0.25">
      <c r="A30" s="2" t="s">
        <v>79</v>
      </c>
      <c r="B30" s="15" t="s">
        <v>80</v>
      </c>
      <c r="C30" s="15" t="s">
        <v>81</v>
      </c>
      <c r="D30" s="15">
        <v>60</v>
      </c>
      <c r="E30" s="15">
        <v>30</v>
      </c>
      <c r="F30" s="15" t="s">
        <v>13</v>
      </c>
      <c r="G30" s="12" t="str">
        <f t="shared" si="0"/>
        <v>STANDARD PRICE</v>
      </c>
      <c r="H30" s="12" t="str">
        <f t="shared" si="1"/>
        <v>07</v>
      </c>
      <c r="I30" s="12" t="str">
        <f t="shared" si="2"/>
        <v>MAR</v>
      </c>
      <c r="J30" s="16" t="str">
        <f t="shared" si="3"/>
        <v>CA</v>
      </c>
    </row>
    <row r="31" spans="1:10" ht="15.75" customHeight="1" x14ac:dyDescent="0.25">
      <c r="A31" s="3" t="s">
        <v>82</v>
      </c>
      <c r="B31" s="12" t="s">
        <v>83</v>
      </c>
      <c r="C31" s="12" t="s">
        <v>84</v>
      </c>
      <c r="D31" s="12">
        <v>40</v>
      </c>
      <c r="E31" s="12">
        <v>10</v>
      </c>
      <c r="F31" s="12" t="s">
        <v>17</v>
      </c>
      <c r="G31" s="12" t="str">
        <f t="shared" si="0"/>
        <v>STANDARD PRICE</v>
      </c>
      <c r="H31" s="12" t="str">
        <f t="shared" si="1"/>
        <v>13</v>
      </c>
      <c r="I31" s="12" t="str">
        <f t="shared" si="2"/>
        <v>APR</v>
      </c>
      <c r="J31" s="16" t="str">
        <f t="shared" si="3"/>
        <v>CA</v>
      </c>
    </row>
    <row r="32" spans="1:10" ht="15.75" customHeight="1" x14ac:dyDescent="0.25">
      <c r="A32" s="2" t="s">
        <v>85</v>
      </c>
      <c r="B32" s="15" t="s">
        <v>71</v>
      </c>
      <c r="C32" s="15" t="s">
        <v>86</v>
      </c>
      <c r="D32" s="15">
        <v>130</v>
      </c>
      <c r="E32" s="15">
        <v>5</v>
      </c>
      <c r="F32" s="15" t="s">
        <v>9</v>
      </c>
      <c r="G32" s="12" t="str">
        <f t="shared" si="0"/>
        <v>STANDARD PRICE</v>
      </c>
      <c r="H32" s="12" t="str">
        <f t="shared" si="1"/>
        <v>24</v>
      </c>
      <c r="I32" s="12" t="str">
        <f t="shared" si="2"/>
        <v>MAY</v>
      </c>
      <c r="J32" s="16" t="str">
        <f t="shared" si="3"/>
        <v>CA</v>
      </c>
    </row>
    <row r="33" spans="1:10" ht="15.75" customHeight="1" x14ac:dyDescent="0.25">
      <c r="A33" s="3" t="s">
        <v>87</v>
      </c>
      <c r="B33" s="12" t="s">
        <v>88</v>
      </c>
      <c r="C33" s="12" t="s">
        <v>89</v>
      </c>
      <c r="D33" s="12">
        <v>50</v>
      </c>
      <c r="E33" s="12">
        <v>50</v>
      </c>
      <c r="F33" s="12" t="s">
        <v>13</v>
      </c>
      <c r="G33" s="12" t="str">
        <f t="shared" si="0"/>
        <v>STANDARD PRICE</v>
      </c>
      <c r="H33" s="12" t="str">
        <f t="shared" si="1"/>
        <v>02</v>
      </c>
      <c r="I33" s="12" t="str">
        <f t="shared" si="2"/>
        <v>DEC</v>
      </c>
      <c r="J33" s="16" t="str">
        <f t="shared" si="3"/>
        <v>CA</v>
      </c>
    </row>
    <row r="34" spans="1:10" ht="15.75" customHeight="1" x14ac:dyDescent="0.25">
      <c r="A34" s="2" t="s">
        <v>40</v>
      </c>
      <c r="B34" s="15" t="s">
        <v>7</v>
      </c>
      <c r="C34" s="15" t="s">
        <v>41</v>
      </c>
      <c r="D34" s="15">
        <v>950</v>
      </c>
      <c r="E34" s="15">
        <v>25</v>
      </c>
      <c r="F34" s="15" t="s">
        <v>9</v>
      </c>
      <c r="G34" s="12" t="str">
        <f t="shared" si="0"/>
        <v>HIGH PRICE</v>
      </c>
      <c r="H34" s="12" t="str">
        <f t="shared" si="1"/>
        <v>17</v>
      </c>
      <c r="I34" s="12" t="str">
        <f t="shared" si="2"/>
        <v>JUN</v>
      </c>
      <c r="J34" s="16" t="str">
        <f t="shared" si="3"/>
        <v>IN</v>
      </c>
    </row>
    <row r="35" spans="1:10" ht="15.75" customHeight="1" x14ac:dyDescent="0.25">
      <c r="A35" s="3" t="s">
        <v>90</v>
      </c>
      <c r="B35" s="12" t="s">
        <v>91</v>
      </c>
      <c r="C35" s="12" t="s">
        <v>92</v>
      </c>
      <c r="D35" s="12">
        <v>100</v>
      </c>
      <c r="E35" s="12">
        <v>20</v>
      </c>
      <c r="F35" s="12" t="s">
        <v>53</v>
      </c>
      <c r="G35" s="12" t="str">
        <f t="shared" si="0"/>
        <v>STANDARD PRICE</v>
      </c>
      <c r="H35" s="12" t="str">
        <f t="shared" si="1"/>
        <v>09</v>
      </c>
      <c r="I35" s="12" t="str">
        <f t="shared" si="2"/>
        <v>JUL</v>
      </c>
      <c r="J35" s="18" t="str">
        <f t="shared" si="3"/>
        <v>FR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E433-CED0-4788-A99A-DB1CC4CE7BCE}">
  <dimension ref="B4:M30"/>
  <sheetViews>
    <sheetView topLeftCell="A5" workbookViewId="0">
      <selection activeCell="K33" sqref="K33"/>
    </sheetView>
  </sheetViews>
  <sheetFormatPr defaultRowHeight="13.2" x14ac:dyDescent="0.25"/>
  <cols>
    <col min="11" max="11" width="83.109375" bestFit="1" customWidth="1"/>
  </cols>
  <sheetData>
    <row r="4" spans="2:13" x14ac:dyDescent="0.25">
      <c r="B4" s="4" t="s">
        <v>96</v>
      </c>
    </row>
    <row r="6" spans="2:13" x14ac:dyDescent="0.25">
      <c r="B6" s="19" t="s">
        <v>108</v>
      </c>
      <c r="C6" s="6"/>
      <c r="D6" s="6"/>
      <c r="G6" s="20">
        <v>10100</v>
      </c>
      <c r="K6" s="7" t="s">
        <v>105</v>
      </c>
      <c r="M6" s="20">
        <v>8050</v>
      </c>
    </row>
    <row r="11" spans="2:13" x14ac:dyDescent="0.25">
      <c r="B11" s="19" t="s">
        <v>109</v>
      </c>
      <c r="C11" s="6"/>
      <c r="D11" s="6"/>
      <c r="E11" s="6"/>
      <c r="G11" s="20">
        <v>34</v>
      </c>
      <c r="K11" s="7" t="s">
        <v>106</v>
      </c>
      <c r="M11" s="20">
        <v>11</v>
      </c>
    </row>
    <row r="16" spans="2:13" x14ac:dyDescent="0.25">
      <c r="B16" s="19" t="s">
        <v>110</v>
      </c>
      <c r="C16" s="6"/>
      <c r="D16" s="6"/>
      <c r="G16" s="20">
        <v>297.05882350000002</v>
      </c>
    </row>
    <row r="19" spans="2:11" x14ac:dyDescent="0.25">
      <c r="K19" s="19" t="s">
        <v>107</v>
      </c>
    </row>
    <row r="21" spans="2:11" x14ac:dyDescent="0.25">
      <c r="K21" s="21" t="s">
        <v>102</v>
      </c>
    </row>
    <row r="23" spans="2:11" x14ac:dyDescent="0.25">
      <c r="B23" s="19" t="s">
        <v>111</v>
      </c>
      <c r="C23" s="6"/>
      <c r="D23" s="6"/>
      <c r="E23" s="6"/>
      <c r="G23" s="20">
        <v>30</v>
      </c>
    </row>
    <row r="25" spans="2:11" x14ac:dyDescent="0.25">
      <c r="K25" s="21" t="s">
        <v>103</v>
      </c>
    </row>
    <row r="29" spans="2:11" x14ac:dyDescent="0.25">
      <c r="B29" s="19" t="s">
        <v>112</v>
      </c>
      <c r="C29" s="6"/>
      <c r="D29" s="6"/>
      <c r="E29" s="6"/>
      <c r="G29" s="20">
        <v>1000</v>
      </c>
    </row>
    <row r="30" spans="2:11" x14ac:dyDescent="0.25">
      <c r="K30" s="21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2026-06-25T13:39:29Z</dcterms:created>
  <dcterms:modified xsi:type="dcterms:W3CDTF">2026-06-25T19:47:55Z</dcterms:modified>
</cp:coreProperties>
</file>