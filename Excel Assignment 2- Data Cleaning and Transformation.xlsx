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AJASHREE KANNAYERAM\Documents\jaya project in excel\EXCEL ASSIGNMENT 2 IN ENTRI\"/>
    </mc:Choice>
  </mc:AlternateContent>
  <xr:revisionPtr revIDLastSave="0" documentId="8_{5D474345-727C-4E3B-944B-2BE89D5F827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set" sheetId="1" r:id="rId1"/>
    <sheet name="Dataset cleaned" sheetId="2" r:id="rId2"/>
    <sheet name="observ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</calcChain>
</file>

<file path=xl/sharedStrings.xml><?xml version="1.0" encoding="utf-8"?>
<sst xmlns="http://schemas.openxmlformats.org/spreadsheetml/2006/main" count="304" uniqueCount="178">
  <si>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</si>
  <si>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</si>
  <si>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</si>
  <si>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</si>
  <si>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</si>
  <si>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</si>
  <si>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</si>
  <si>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</si>
  <si>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</si>
  <si>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</si>
  <si>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</si>
  <si>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</si>
  <si>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</si>
  <si>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</si>
  <si>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</si>
  <si>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</si>
  <si>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</si>
  <si>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</si>
  <si>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</si>
  <si>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</si>
  <si>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</si>
  <si>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</si>
  <si>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</si>
  <si>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</si>
  <si>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</si>
  <si>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</si>
  <si>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</si>
  <si>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</si>
  <si>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</si>
  <si>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</si>
  <si>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</si>
  <si>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</si>
  <si>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</si>
  <si>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</si>
  <si>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</si>
  <si>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</si>
  <si>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</si>
  <si>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</si>
  <si>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</si>
  <si>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</si>
  <si>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</si>
  <si>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</si>
  <si>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</si>
  <si>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</si>
  <si>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</si>
  <si>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</si>
  <si>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</si>
  <si>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</si>
  <si>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</si>
  <si>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</si>
  <si>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</si>
  <si>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</si>
  <si>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</si>
  <si>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</si>
  <si>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</si>
  <si>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</si>
  <si>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</si>
  <si>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</si>
  <si>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</si>
  <si>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</si>
  <si>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</si>
  <si>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</si>
  <si>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</si>
  <si>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</si>
  <si>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</si>
  <si>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</si>
  <si>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</si>
  <si>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</si>
  <si>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</si>
  <si>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</si>
  <si>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</si>
  <si>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</si>
  <si>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</si>
  <si>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</si>
  <si>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</si>
  <si>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</si>
  <si>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</si>
  <si>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</si>
  <si>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</si>
  <si>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</si>
  <si>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</si>
  <si>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</si>
  <si>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</si>
  <si>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</si>
  <si>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</si>
  <si>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</si>
  <si>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</si>
  <si>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</si>
  <si>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</si>
  <si>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</si>
  <si>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</si>
  <si>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</si>
  <si>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</si>
  <si>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Manfactring_Date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</si>
  <si>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</si>
  <si>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</si>
  <si>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</si>
  <si>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</si>
  <si>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</si>
  <si>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</si>
  <si>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</si>
  <si>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</si>
  <si>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</si>
  <si>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</si>
  <si>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</si>
  <si>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</si>
  <si>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Country_Code</t>
  </si>
  <si>
    <t>Product Brand</t>
  </si>
  <si>
    <t>28-JAN</t>
  </si>
  <si>
    <t>15-FEB</t>
  </si>
  <si>
    <t>03-MAR</t>
  </si>
  <si>
    <t>11-APR</t>
  </si>
  <si>
    <t>22-MAY</t>
  </si>
  <si>
    <t>07-JUN</t>
  </si>
  <si>
    <t>19-JUL</t>
  </si>
  <si>
    <t>23-AUG</t>
  </si>
  <si>
    <t>05-SEP</t>
  </si>
  <si>
    <t>14-OCT</t>
  </si>
  <si>
    <t>17-JUN</t>
  </si>
  <si>
    <t>25-NOV</t>
  </si>
  <si>
    <t>08-DEC</t>
  </si>
  <si>
    <t>18-FEB</t>
  </si>
  <si>
    <t>16-APR</t>
  </si>
  <si>
    <t>21-AUG</t>
  </si>
  <si>
    <t>20-AUG</t>
  </si>
  <si>
    <t>27-JAN</t>
  </si>
  <si>
    <t>01-MAR</t>
  </si>
  <si>
    <t>14-AUG</t>
  </si>
  <si>
    <t>14-MAY</t>
  </si>
  <si>
    <t>09-JAN</t>
  </si>
  <si>
    <t>29-SEP</t>
  </si>
  <si>
    <t>03-JUN</t>
  </si>
  <si>
    <t>11-JUL</t>
  </si>
  <si>
    <t>07-MAR</t>
  </si>
  <si>
    <t>13-APR</t>
  </si>
  <si>
    <t>24-MAY</t>
  </si>
  <si>
    <t>02-DEC</t>
  </si>
  <si>
    <t>09-JUL</t>
  </si>
  <si>
    <t>Laptop-Dell</t>
  </si>
  <si>
    <t>Sneakers-Nike</t>
  </si>
  <si>
    <t>Coffee Maker-Keurig</t>
  </si>
  <si>
    <t>Smartphone-Samsung</t>
  </si>
  <si>
    <t>Backpack-North Face</t>
  </si>
  <si>
    <t>Headphones-Sony</t>
  </si>
  <si>
    <t>T-shirt-Adidas</t>
  </si>
  <si>
    <t>Blender-Ninja</t>
  </si>
  <si>
    <t>Tablet-Apple</t>
  </si>
  <si>
    <t>Hiking Boots-Timberland</t>
  </si>
  <si>
    <t>Laptop-HP</t>
  </si>
  <si>
    <t>Sneakers-Adidas</t>
  </si>
  <si>
    <t>Coffee Maker-Nespresso</t>
  </si>
  <si>
    <t>Smartwatch-Fitbit</t>
  </si>
  <si>
    <t>Headphones-Bose</t>
  </si>
  <si>
    <t>Laptop Bag-Samsonite</t>
  </si>
  <si>
    <t>Smartwatch-Huawei</t>
  </si>
  <si>
    <t>Laptop-Asus</t>
  </si>
  <si>
    <t>Sunglasses-Oakley</t>
  </si>
  <si>
    <t>Camping Tent-Coleman</t>
  </si>
  <si>
    <t>Camera-Nikon</t>
  </si>
  <si>
    <t>Microwave-Panasonic</t>
  </si>
  <si>
    <t>Fitness Tracker-Xiaomi</t>
  </si>
  <si>
    <t>Smartphone-Google</t>
  </si>
  <si>
    <t>Sunglasses-Ray-Ban</t>
  </si>
  <si>
    <t>Blender-Vitamix</t>
  </si>
  <si>
    <t>Dress-Zara</t>
  </si>
  <si>
    <t>Toaster-Hamilton</t>
  </si>
  <si>
    <t>Fitness Tracker-Garmin</t>
  </si>
  <si>
    <t>Jeans-Levi's</t>
  </si>
  <si>
    <t>Watch-Casio</t>
  </si>
  <si>
    <t>OBSERVATION</t>
  </si>
  <si>
    <r>
      <t xml:space="preserve">1 No missing or null values were found in the </t>
    </r>
    <r>
      <rPr>
        <b/>
        <sz val="10"/>
        <color theme="4" tint="-0.249977111117893"/>
        <rFont val="Arial"/>
        <family val="2"/>
        <scheme val="minor"/>
      </rPr>
      <t>Price</t>
    </r>
    <r>
      <rPr>
        <sz val="10"/>
        <color theme="4" tint="-0.249977111117893"/>
        <rFont val="Arial"/>
        <family val="2"/>
        <scheme val="minor"/>
      </rPr>
      <t xml:space="preserve">, </t>
    </r>
    <r>
      <rPr>
        <b/>
        <sz val="10"/>
        <color theme="4" tint="-0.249977111117893"/>
        <rFont val="Arial"/>
        <family val="2"/>
        <scheme val="minor"/>
      </rPr>
      <t>Product Name</t>
    </r>
    <r>
      <rPr>
        <sz val="10"/>
        <color theme="4" tint="-0.249977111117893"/>
        <rFont val="Arial"/>
        <family val="2"/>
        <scheme val="minor"/>
      </rPr>
      <t xml:space="preserve">, and </t>
    </r>
    <r>
      <rPr>
        <b/>
        <sz val="10"/>
        <color theme="4" tint="-0.249977111117893"/>
        <rFont val="Arial"/>
        <family val="2"/>
        <scheme val="minor"/>
      </rPr>
      <t>Category</t>
    </r>
    <r>
      <rPr>
        <sz val="10"/>
        <color theme="4" tint="-0.249977111117893"/>
        <rFont val="Arial"/>
        <family val="2"/>
        <scheme val="minor"/>
      </rPr>
      <t xml:space="preserve"> columns, so no cleaning was required for these fields.</t>
    </r>
  </si>
  <si>
    <r>
      <t xml:space="preserve">2 Three duplicate </t>
    </r>
    <r>
      <rPr>
        <b/>
        <sz val="10"/>
        <color theme="4" tint="-0.249977111117893"/>
        <rFont val="Arial"/>
        <family val="2"/>
        <scheme val="minor"/>
      </rPr>
      <t>Product IDs</t>
    </r>
    <r>
      <rPr>
        <sz val="10"/>
        <color theme="4" tint="-0.249977111117893"/>
        <rFont val="Arial"/>
        <family val="2"/>
        <scheme val="minor"/>
      </rPr>
      <t xml:space="preserve"> and their corresponding duplicate rows were identified and removed, ensuring that each Product ID is unique.</t>
    </r>
  </si>
  <si>
    <r>
      <t xml:space="preserve">3 The </t>
    </r>
    <r>
      <rPr>
        <b/>
        <sz val="10"/>
        <color theme="4" tint="-0.249977111117893"/>
        <rFont val="Arial"/>
        <family val="2"/>
        <scheme val="minor"/>
      </rPr>
      <t>Product ID</t>
    </r>
    <r>
      <rPr>
        <sz val="10"/>
        <color theme="4" tint="-0.249977111117893"/>
        <rFont val="Arial"/>
        <family val="2"/>
        <scheme val="minor"/>
      </rPr>
      <t xml:space="preserve"> was split into two new columns: </t>
    </r>
    <r>
      <rPr>
        <b/>
        <sz val="10"/>
        <color theme="4" tint="-0.249977111117893"/>
        <rFont val="Arial"/>
        <family val="2"/>
        <scheme val="minor"/>
      </rPr>
      <t>Manufacturing Date</t>
    </r>
    <r>
      <rPr>
        <sz val="10"/>
        <color theme="4" tint="-0.249977111117893"/>
        <rFont val="Arial"/>
        <family val="2"/>
        <scheme val="minor"/>
      </rPr>
      <t xml:space="preserve"> and </t>
    </r>
    <r>
      <rPr>
        <b/>
        <sz val="10"/>
        <color theme="4" tint="-0.249977111117893"/>
        <rFont val="Arial"/>
        <family val="2"/>
        <scheme val="minor"/>
      </rPr>
      <t>Country Code</t>
    </r>
    <r>
      <rPr>
        <sz val="10"/>
        <color theme="4" tint="-0.249977111117893"/>
        <rFont val="Arial"/>
        <family val="2"/>
        <scheme val="minor"/>
      </rPr>
      <t xml:space="preserve">, using the </t>
    </r>
    <r>
      <rPr>
        <b/>
        <sz val="10"/>
        <color theme="4" tint="-0.249977111117893"/>
        <rFont val="Arial"/>
        <family val="2"/>
        <scheme val="minor"/>
      </rPr>
      <t>LEFT()</t>
    </r>
    <r>
      <rPr>
        <sz val="10"/>
        <color theme="4" tint="-0.249977111117893"/>
        <rFont val="Arial"/>
        <family val="2"/>
        <scheme val="minor"/>
      </rPr>
      <t xml:space="preserve"> and </t>
    </r>
    <r>
      <rPr>
        <b/>
        <sz val="10"/>
        <color theme="4" tint="-0.249977111117893"/>
        <rFont val="Arial"/>
        <family val="2"/>
        <scheme val="minor"/>
      </rPr>
      <t>RIGHT()</t>
    </r>
    <r>
      <rPr>
        <sz val="10"/>
        <color theme="4" tint="-0.249977111117893"/>
        <rFont val="Arial"/>
        <family val="2"/>
        <scheme val="minor"/>
      </rPr>
      <t xml:space="preserve"> functions.</t>
    </r>
  </si>
  <si>
    <r>
      <t xml:space="preserve">4 The </t>
    </r>
    <r>
      <rPr>
        <b/>
        <sz val="10"/>
        <color theme="4" tint="-0.249977111117893"/>
        <rFont val="Arial"/>
        <family val="2"/>
        <scheme val="minor"/>
      </rPr>
      <t>Product Name</t>
    </r>
    <r>
      <rPr>
        <sz val="10"/>
        <color theme="4" tint="-0.249977111117893"/>
        <rFont val="Arial"/>
        <family val="2"/>
        <scheme val="minor"/>
      </rPr>
      <t xml:space="preserve"> and </t>
    </r>
    <r>
      <rPr>
        <b/>
        <sz val="10"/>
        <color theme="4" tint="-0.249977111117893"/>
        <rFont val="Arial"/>
        <family val="2"/>
        <scheme val="minor"/>
      </rPr>
      <t>Brand Name</t>
    </r>
    <r>
      <rPr>
        <sz val="10"/>
        <color theme="4" tint="-0.249977111117893"/>
        <rFont val="Arial"/>
        <family val="2"/>
        <scheme val="minor"/>
      </rPr>
      <t xml:space="preserve"> columns were combined into a new column called </t>
    </r>
    <r>
      <rPr>
        <b/>
        <sz val="10"/>
        <color theme="4" tint="-0.249977111117893"/>
        <rFont val="Arial"/>
        <family val="2"/>
        <scheme val="minor"/>
      </rPr>
      <t>Product Brand</t>
    </r>
    <r>
      <rPr>
        <sz val="10"/>
        <color theme="4" tint="-0.249977111117893"/>
        <rFont val="Arial"/>
        <family val="2"/>
        <scheme val="minor"/>
      </rPr>
      <t xml:space="preserve"> using a formula.</t>
    </r>
  </si>
  <si>
    <r>
      <t xml:space="preserve">5 The </t>
    </r>
    <r>
      <rPr>
        <b/>
        <sz val="10"/>
        <color theme="4" tint="-0.249977111117893"/>
        <rFont val="Arial"/>
        <family val="2"/>
        <scheme val="minor"/>
      </rPr>
      <t>Price</t>
    </r>
    <r>
      <rPr>
        <sz val="10"/>
        <color theme="4" tint="-0.249977111117893"/>
        <rFont val="Arial"/>
        <family val="2"/>
        <scheme val="minor"/>
      </rPr>
      <t xml:space="preserve"> column was formatted in </t>
    </r>
    <r>
      <rPr>
        <b/>
        <sz val="10"/>
        <color theme="4" tint="-0.249977111117893"/>
        <rFont val="Arial"/>
        <family val="2"/>
        <scheme val="minor"/>
      </rPr>
      <t>US Dollar (USD)</t>
    </r>
    <r>
      <rPr>
        <sz val="10"/>
        <color theme="4" tint="-0.249977111117893"/>
        <rFont val="Arial"/>
        <family val="2"/>
        <scheme val="minor"/>
      </rPr>
      <t xml:space="preserve"> currency format for better consistency and readability.</t>
    </r>
  </si>
  <si>
    <r>
      <rPr>
        <sz val="10"/>
        <color theme="4" tint="-0.249977111117893"/>
        <rFont val="Arial"/>
        <family val="2"/>
        <scheme val="minor"/>
      </rPr>
      <t>6</t>
    </r>
    <r>
      <rPr>
        <b/>
        <sz val="10"/>
        <color theme="4" tint="-0.249977111117893"/>
        <rFont val="Arial"/>
        <family val="2"/>
        <scheme val="minor"/>
      </rPr>
      <t xml:space="preserve"> Conditional Formatting</t>
    </r>
    <r>
      <rPr>
        <sz val="10"/>
        <color theme="4" tint="-0.249977111117893"/>
        <rFont val="Arial"/>
        <family val="2"/>
        <scheme val="minor"/>
      </rPr>
      <t xml:space="preserve"> was applied to improve data visualization:</t>
    </r>
  </si>
  <si>
    <r>
      <t>Data Bars</t>
    </r>
    <r>
      <rPr>
        <sz val="10"/>
        <color theme="4" tint="-0.249977111117893"/>
        <rFont val="Arial"/>
        <family val="2"/>
        <scheme val="minor"/>
      </rPr>
      <t xml:space="preserve"> were used in the </t>
    </r>
    <r>
      <rPr>
        <b/>
        <sz val="10"/>
        <color theme="4" tint="-0.249977111117893"/>
        <rFont val="Arial"/>
        <family val="2"/>
        <scheme val="minor"/>
      </rPr>
      <t>Price</t>
    </r>
    <r>
      <rPr>
        <sz val="10"/>
        <color theme="4" tint="-0.249977111117893"/>
        <rFont val="Arial"/>
        <family val="2"/>
        <scheme val="minor"/>
      </rPr>
      <t xml:space="preserve"> column to compare values visually.</t>
    </r>
  </si>
  <si>
    <r>
      <t xml:space="preserve">A </t>
    </r>
    <r>
      <rPr>
        <b/>
        <sz val="10"/>
        <color theme="4" tint="-0.249977111117893"/>
        <rFont val="Arial"/>
        <family val="2"/>
        <scheme val="minor"/>
      </rPr>
      <t>New Rule</t>
    </r>
    <r>
      <rPr>
        <sz val="10"/>
        <color theme="4" tint="-0.249977111117893"/>
        <rFont val="Arial"/>
        <family val="2"/>
        <scheme val="minor"/>
      </rPr>
      <t xml:space="preserve"> was applied to the </t>
    </r>
    <r>
      <rPr>
        <b/>
        <sz val="10"/>
        <color theme="4" tint="-0.249977111117893"/>
        <rFont val="Arial"/>
        <family val="2"/>
        <scheme val="minor"/>
      </rPr>
      <t>Category</t>
    </r>
    <r>
      <rPr>
        <sz val="10"/>
        <color theme="4" tint="-0.249977111117893"/>
        <rFont val="Arial"/>
        <family val="2"/>
        <scheme val="minor"/>
      </rPr>
      <t xml:space="preserve"> column to highlight </t>
    </r>
    <r>
      <rPr>
        <b/>
        <sz val="10"/>
        <color theme="4" tint="-0.249977111117893"/>
        <rFont val="Arial"/>
        <family val="2"/>
        <scheme val="minor"/>
      </rPr>
      <t>Electronic</t>
    </r>
    <r>
      <rPr>
        <sz val="10"/>
        <color theme="4" tint="-0.249977111117893"/>
        <rFont val="Arial"/>
        <family val="2"/>
        <scheme val="minor"/>
      </rPr>
      <t xml:space="preserve"> products for easier identification.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</si>
</sst>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7" x14ac:knownFonts="1">
    <font>
      <sz val="10"/>
      <color rgb="FF000000"/>
      <name val="Arial"/>
      <scheme val="minor"/>
    </font>
    <font>
      <sz val="8"/>
      <name val="Arial"/>
      <scheme val="minor"/>
    </font>
    <font>
      <sz val="12"/>
      <color theme="3"/>
      <name val="Arial"/>
      <family val="2"/>
    </font>
    <font>
      <sz val="10"/>
      <color rgb="FF000000"/>
      <name val="Arial"/>
      <family val="2"/>
      <scheme val="minor"/>
    </font>
    <font>
      <b/>
      <sz val="10"/>
      <color theme="5"/>
      <name val="Arial"/>
      <family val="2"/>
      <scheme val="minor"/>
    </font>
    <font>
      <sz val="10"/>
      <color theme="4" tint="-0.249977111117893"/>
      <name val="Arial"/>
      <family val="2"/>
      <scheme val="minor"/>
    </font>
    <font>
      <b/>
      <sz val="10"/>
      <color theme="4" tint="-0.249977111117893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14" fontId="2" fillId="3" borderId="1" xfId="0" applyNumberFormat="1" applyFont="1" applyFill="1" applyBorder="1"/>
    <xf numFmtId="0" fontId="2" fillId="3" borderId="1" xfId="0" applyFont="1" applyFill="1" applyBorder="1"/>
    <xf numFmtId="164" fontId="2" fillId="3" borderId="1" xfId="0" applyNumberFormat="1" applyFont="1" applyFill="1" applyBorder="1"/>
    <xf numFmtId="14" fontId="0" fillId="0" borderId="1" xfId="0" applyNumberFormat="1" applyBorder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</cellXfs>
  <cellStyles count="1">
    <cellStyle name="Normal" xfId="0" builtinId="0"/>
  </cellStyles>
  <dxfs count="26">
    <dxf>
      <font>
        <color rgb="FFFFFF00"/>
      </font>
    </dxf>
    <dxf>
      <font>
        <b/>
        <i val="0"/>
        <color rgb="FF000066"/>
      </font>
    </dxf>
    <dxf>
      <font>
        <color theme="4" tint="0.39994506668294322"/>
      </font>
    </dxf>
    <dxf>
      <font>
        <color rgb="FF000066"/>
      </font>
    </dxf>
    <dxf>
      <font>
        <color theme="6" tint="0.59996337778862885"/>
      </font>
    </dxf>
    <dxf>
      <font>
        <color rgb="FFFF0000"/>
      </font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Arial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Arial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Arial"/>
        <family val="2"/>
        <scheme val="none"/>
      </font>
      <numFmt numFmtId="19" formatCode="dd/mm/yyyy"/>
      <fill>
        <patternFill patternType="solid">
          <fgColor rgb="FFE0F7FA"/>
          <bgColor rgb="FFE0F7FA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Arial"/>
        <family val="2"/>
        <scheme val="none"/>
      </font>
      <numFmt numFmtId="164" formatCode="[$$-409]#,##0.00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Arial"/>
        <family val="2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00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F7E9B1-4869-4A36-A8EF-AB426964883C}" name="Table1" displayName="Table1" ref="A1:I32" totalsRowShown="0" headerRowDxfId="25" dataDxfId="24">
  <autoFilter ref="A1:I32" xr:uid="{4FF7E9B1-4869-4A36-A8EF-AB426964883C}"/>
  <tableColumns count="9">
    <tableColumn id="1" xr3:uid="{C0DD528B-6696-4FFD-B642-1D6271B88797}" name="Product ID" dataDxfId="23"/>
    <tableColumn id="2" xr3:uid="{A7E2AD6A-D396-48FB-AFF8-EF4A3B14508A}" name="Product Name" dataDxfId="22"/>
    <tableColumn id="3" xr3:uid="{067071ED-A406-4D58-833D-FF99BE96C0CD}" name="Brand Name" dataDxfId="21"/>
    <tableColumn id="4" xr3:uid="{75EC62F3-3C14-4DFF-9543-FD281023AD36}" name="Price ($)" dataDxfId="20"/>
    <tableColumn id="5" xr3:uid="{DA56D53E-E201-4468-836D-AE78940B3F83}" name="Quantity" dataDxfId="19"/>
    <tableColumn id="6" xr3:uid="{5B04579E-FB80-4D78-B489-F616A3F0FFDC}" name="Category" dataDxfId="18"/>
    <tableColumn id="8" xr3:uid="{D6F502A8-A0F0-4E8B-8D18-0324D874D6E0}" name="Manfactring_Date" dataDxfId="17">
      <calculatedColumnFormula>LEFT(A2,LEN(A2)-3)</calculatedColumnFormula>
    </tableColumn>
    <tableColumn id="9" xr3:uid="{3F295B43-2614-49DB-B973-B25FEBCA3F16}" name="Country_Code" dataDxfId="16">
      <calculatedColumnFormula>RIGHT(A2,LEN(A2)-7)</calculatedColumnFormula>
    </tableColumn>
    <tableColumn id="10" xr3:uid="{4B05D331-69EE-4771-B629-D78C425FF56F}" name="Product Brand" dataDxfId="15">
      <calculatedColumnFormula>CONCATENATE(B2,"-",C2)</calculatedColumnFormula>
    </tableColumn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B3D905-AEFB-470E-BD80-43DDD1C22B56}" name="Table2" displayName="Table2" ref="A1:G32" totalsRowShown="0" headerRowDxfId="14" dataDxfId="13">
  <autoFilter ref="A1:G32" xr:uid="{3DB3D905-AEFB-470E-BD80-43DDD1C22B56}"/>
  <tableColumns count="7">
    <tableColumn id="1" xr3:uid="{3E028BB4-F4BB-4035-BE1C-4233EDA2076B}" name="Product ID" dataDxfId="12"/>
    <tableColumn id="2" xr3:uid="{AE9F214F-F7E9-4FA4-A396-C00E23D1CE14}" name="Manfactring_Date" dataDxfId="11"/>
    <tableColumn id="3" xr3:uid="{3EB2B015-1608-4D90-A60F-5F58EFEF2ADD}" name="Country_Code" dataDxfId="10"/>
    <tableColumn id="4" xr3:uid="{4D9AAA0F-C493-4DC6-8608-211B6ED218B0}" name="Product Brand" dataDxfId="9"/>
    <tableColumn id="5" xr3:uid="{800F42B2-F631-4948-A83B-27101A71CED6}" name="Price ($)" dataDxfId="8"/>
    <tableColumn id="6" xr3:uid="{45F1C67F-8A21-48FA-8FD6-CC1236AC46D8}" name="Quantity" dataDxfId="7"/>
    <tableColumn id="7" xr3:uid="{DC403E26-7E57-4B7A-AFA0-ACB0A5203F90}" name="Category" dataDxfId="6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00"/>
  <sheetViews>
    <sheetView zoomScale="76" workbookViewId="0">
      <selection activeCell="F1" sqref="F1:F1048576"/>
    </sheetView>
  </sheetViews>
  <sheetFormatPr defaultColWidth="12.6640625" defaultRowHeight="15" customHeight="1" x14ac:dyDescent="0.25"/>
  <cols>
    <col min="1" max="1" width="17.77734375" style="1" bestFit="1" customWidth="1"/>
    <col min="2" max="2" width="21.5546875" style="1" bestFit="1" customWidth="1"/>
    <col min="3" max="3" width="19.6640625" style="1" bestFit="1" customWidth="1"/>
    <col min="4" max="5" width="15.44140625" style="1" bestFit="1" customWidth="1"/>
    <col min="6" max="6" width="16.21875" style="1" bestFit="1" customWidth="1"/>
    <col min="7" max="7" width="25.44140625" style="9" bestFit="1" customWidth="1"/>
    <col min="8" max="8" width="21.88671875" style="1" bestFit="1" customWidth="1"/>
    <col min="9" max="9" width="26.109375" style="1" bestFit="1" customWidth="1"/>
    <col min="10" max="16384" width="12.6640625" style="1"/>
  </cols>
  <sheetData>
    <row r="1" spans="1:12" ht="15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93</v>
      </c>
      <c r="H1" s="2" t="s">
        <v>106</v>
      </c>
      <c r="I1" s="2" t="s">
        <v>107</v>
      </c>
    </row>
    <row r="2" spans="1:12" ht="15.75" customHeight="1" x14ac:dyDescent="0.25">
      <c r="A2" s="4" t="s">
        <v>6</v>
      </c>
      <c r="B2" s="4" t="s">
        <v>7</v>
      </c>
      <c r="C2" s="4" t="s">
        <v>8</v>
      </c>
      <c r="D2" s="5">
        <v>1000</v>
      </c>
      <c r="E2" s="4">
        <v>30</v>
      </c>
      <c r="F2" s="4" t="s">
        <v>9</v>
      </c>
      <c r="G2" s="6" t="str">
        <f t="shared" ref="G2:G32" si="0">LEFT(A2,LEN(A2)-3)</f>
        <v>28-JAN</v>
      </c>
      <c r="H2" s="7" t="str">
        <f t="shared" ref="H2:H32" si="1">RIGHT(A2,LEN(A2)-7)</f>
        <v>US</v>
      </c>
      <c r="I2" s="7" t="str">
        <f t="shared" ref="I2:I32" si="2">CONCATENATE(B2,"-",C2)</f>
        <v>Laptop-Dell</v>
      </c>
    </row>
    <row r="3" spans="1:12" ht="15.75" customHeight="1" x14ac:dyDescent="0.25">
      <c r="A3" s="7" t="s">
        <v>10</v>
      </c>
      <c r="B3" s="7" t="s">
        <v>11</v>
      </c>
      <c r="C3" s="7" t="s">
        <v>12</v>
      </c>
      <c r="D3" s="8">
        <v>80</v>
      </c>
      <c r="E3" s="7">
        <v>15</v>
      </c>
      <c r="F3" s="7" t="s">
        <v>13</v>
      </c>
      <c r="G3" s="6" t="str">
        <f t="shared" si="0"/>
        <v>15-FEB</v>
      </c>
      <c r="H3" s="7" t="str">
        <f t="shared" si="1"/>
        <v>US</v>
      </c>
      <c r="I3" s="7" t="str">
        <f t="shared" si="2"/>
        <v>Sneakers-Nike</v>
      </c>
    </row>
    <row r="4" spans="1:12" ht="15.75" customHeight="1" x14ac:dyDescent="0.25">
      <c r="A4" s="4" t="s">
        <v>14</v>
      </c>
      <c r="B4" s="4" t="s">
        <v>15</v>
      </c>
      <c r="C4" s="4" t="s">
        <v>16</v>
      </c>
      <c r="D4" s="5">
        <v>130</v>
      </c>
      <c r="E4" s="4">
        <v>40</v>
      </c>
      <c r="F4" s="4" t="s">
        <v>17</v>
      </c>
      <c r="G4" s="6" t="str">
        <f t="shared" si="0"/>
        <v>03-MAR</v>
      </c>
      <c r="H4" s="7" t="str">
        <f t="shared" si="1"/>
        <v>US</v>
      </c>
      <c r="I4" s="7" t="str">
        <f t="shared" si="2"/>
        <v>Coffee Maker-Keurig</v>
      </c>
    </row>
    <row r="5" spans="1:12" ht="15.75" customHeight="1" x14ac:dyDescent="0.25">
      <c r="A5" s="7" t="s">
        <v>18</v>
      </c>
      <c r="B5" s="7" t="s">
        <v>19</v>
      </c>
      <c r="C5" s="7" t="s">
        <v>20</v>
      </c>
      <c r="D5" s="8">
        <v>900</v>
      </c>
      <c r="E5" s="7">
        <v>25</v>
      </c>
      <c r="F5" s="7" t="s">
        <v>9</v>
      </c>
      <c r="G5" s="6" t="str">
        <f t="shared" si="0"/>
        <v>11-APR</v>
      </c>
      <c r="H5" s="7" t="str">
        <f t="shared" si="1"/>
        <v>US</v>
      </c>
      <c r="I5" s="7" t="str">
        <f t="shared" si="2"/>
        <v>Smartphone-Samsung</v>
      </c>
    </row>
    <row r="6" spans="1:12" ht="15.75" customHeight="1" x14ac:dyDescent="0.25">
      <c r="A6" s="4" t="s">
        <v>21</v>
      </c>
      <c r="B6" s="4" t="s">
        <v>22</v>
      </c>
      <c r="C6" s="4" t="s">
        <v>23</v>
      </c>
      <c r="D6" s="5">
        <v>70</v>
      </c>
      <c r="E6" s="4">
        <v>20</v>
      </c>
      <c r="F6" s="4" t="s">
        <v>24</v>
      </c>
      <c r="G6" s="6" t="str">
        <f t="shared" si="0"/>
        <v>22-MAY</v>
      </c>
      <c r="H6" s="7" t="str">
        <f t="shared" si="1"/>
        <v>US</v>
      </c>
      <c r="I6" s="7" t="str">
        <f t="shared" si="2"/>
        <v>Backpack-North Face</v>
      </c>
    </row>
    <row r="7" spans="1:12" ht="15.75" customHeight="1" x14ac:dyDescent="0.25">
      <c r="A7" s="7" t="s">
        <v>25</v>
      </c>
      <c r="B7" s="7" t="s">
        <v>26</v>
      </c>
      <c r="C7" s="7" t="s">
        <v>27</v>
      </c>
      <c r="D7" s="8">
        <v>200</v>
      </c>
      <c r="E7" s="7">
        <v>45</v>
      </c>
      <c r="F7" s="7" t="s">
        <v>9</v>
      </c>
      <c r="G7" s="6" t="str">
        <f t="shared" si="0"/>
        <v>07-JUN</v>
      </c>
      <c r="H7" s="7" t="str">
        <f t="shared" si="1"/>
        <v>UK</v>
      </c>
      <c r="I7" s="7" t="str">
        <f t="shared" si="2"/>
        <v>Headphones-Sony</v>
      </c>
    </row>
    <row r="8" spans="1:12" ht="15.75" customHeight="1" x14ac:dyDescent="0.25">
      <c r="A8" s="4" t="s">
        <v>28</v>
      </c>
      <c r="B8" s="4" t="s">
        <v>29</v>
      </c>
      <c r="C8" s="4" t="s">
        <v>30</v>
      </c>
      <c r="D8" s="5">
        <v>30</v>
      </c>
      <c r="E8" s="4">
        <v>5</v>
      </c>
      <c r="F8" s="4" t="s">
        <v>13</v>
      </c>
      <c r="G8" s="6" t="str">
        <f t="shared" si="0"/>
        <v>19-JUL</v>
      </c>
      <c r="H8" s="7" t="str">
        <f t="shared" si="1"/>
        <v>UK</v>
      </c>
      <c r="I8" s="7" t="str">
        <f t="shared" si="2"/>
        <v>T-shirt-Adidas</v>
      </c>
    </row>
    <row r="9" spans="1:12" ht="15.75" customHeight="1" x14ac:dyDescent="0.25">
      <c r="A9" s="7" t="s">
        <v>31</v>
      </c>
      <c r="B9" s="7" t="s">
        <v>32</v>
      </c>
      <c r="C9" s="7" t="s">
        <v>33</v>
      </c>
      <c r="D9" s="8">
        <v>90</v>
      </c>
      <c r="E9" s="7">
        <v>35</v>
      </c>
      <c r="F9" s="7" t="s">
        <v>17</v>
      </c>
      <c r="G9" s="6" t="str">
        <f t="shared" si="0"/>
        <v>23-AUG</v>
      </c>
      <c r="H9" s="7" t="str">
        <f t="shared" si="1"/>
        <v>UK</v>
      </c>
      <c r="I9" s="7" t="str">
        <f t="shared" si="2"/>
        <v>Blender-Ninja</v>
      </c>
    </row>
    <row r="10" spans="1:12" ht="15.75" customHeight="1" x14ac:dyDescent="0.25">
      <c r="A10" s="4" t="s">
        <v>34</v>
      </c>
      <c r="B10" s="4" t="s">
        <v>35</v>
      </c>
      <c r="C10" s="4" t="s">
        <v>36</v>
      </c>
      <c r="D10" s="5">
        <v>500</v>
      </c>
      <c r="E10" s="4">
        <v>50</v>
      </c>
      <c r="F10" s="4" t="s">
        <v>9</v>
      </c>
      <c r="G10" s="6" t="str">
        <f t="shared" si="0"/>
        <v>05-SEP</v>
      </c>
      <c r="H10" s="7" t="str">
        <f t="shared" si="1"/>
        <v>UK</v>
      </c>
      <c r="I10" s="7" t="str">
        <f t="shared" si="2"/>
        <v>Tablet-Apple</v>
      </c>
    </row>
    <row r="11" spans="1:12" ht="15.75" customHeight="1" x14ac:dyDescent="0.25">
      <c r="A11" s="7" t="s">
        <v>37</v>
      </c>
      <c r="B11" s="7" t="s">
        <v>38</v>
      </c>
      <c r="C11" s="7" t="s">
        <v>39</v>
      </c>
      <c r="D11" s="8">
        <v>130</v>
      </c>
      <c r="E11" s="7">
        <v>10</v>
      </c>
      <c r="F11" s="7" t="s">
        <v>24</v>
      </c>
      <c r="G11" s="6" t="str">
        <f t="shared" si="0"/>
        <v>14-OCT</v>
      </c>
      <c r="H11" s="7" t="str">
        <f t="shared" si="1"/>
        <v>UK</v>
      </c>
      <c r="I11" s="7" t="str">
        <f t="shared" si="2"/>
        <v>Hiking Boots-Timberland</v>
      </c>
    </row>
    <row r="12" spans="1:12" ht="15.75" customHeight="1" x14ac:dyDescent="0.25">
      <c r="A12" s="4" t="s">
        <v>40</v>
      </c>
      <c r="B12" s="4" t="s">
        <v>7</v>
      </c>
      <c r="C12" s="4" t="s">
        <v>41</v>
      </c>
      <c r="D12" s="5">
        <v>950</v>
      </c>
      <c r="E12" s="4">
        <v>25</v>
      </c>
      <c r="F12" s="4" t="s">
        <v>9</v>
      </c>
      <c r="G12" s="6" t="str">
        <f t="shared" si="0"/>
        <v>17-JUN</v>
      </c>
      <c r="H12" s="7" t="str">
        <f t="shared" si="1"/>
        <v>IN</v>
      </c>
      <c r="I12" s="7" t="str">
        <f t="shared" si="2"/>
        <v>Laptop-HP</v>
      </c>
    </row>
    <row r="13" spans="1:12" ht="15.75" customHeight="1" x14ac:dyDescent="0.25">
      <c r="A13" s="7" t="s">
        <v>42</v>
      </c>
      <c r="B13" s="7" t="s">
        <v>11</v>
      </c>
      <c r="C13" s="7" t="s">
        <v>30</v>
      </c>
      <c r="D13" s="8">
        <v>90</v>
      </c>
      <c r="E13" s="7">
        <v>40</v>
      </c>
      <c r="F13" s="7" t="s">
        <v>13</v>
      </c>
      <c r="G13" s="6" t="str">
        <f t="shared" si="0"/>
        <v>25-NOV</v>
      </c>
      <c r="H13" s="7" t="str">
        <f t="shared" si="1"/>
        <v>AU</v>
      </c>
      <c r="I13" s="7" t="str">
        <f t="shared" si="2"/>
        <v>Sneakers-Adidas</v>
      </c>
    </row>
    <row r="14" spans="1:12" ht="15.75" customHeight="1" x14ac:dyDescent="0.25">
      <c r="A14" s="4" t="s">
        <v>43</v>
      </c>
      <c r="B14" s="4" t="s">
        <v>15</v>
      </c>
      <c r="C14" s="4" t="s">
        <v>44</v>
      </c>
      <c r="D14" s="5">
        <v>120</v>
      </c>
      <c r="E14" s="4">
        <v>35</v>
      </c>
      <c r="F14" s="4" t="s">
        <v>17</v>
      </c>
      <c r="G14" s="6" t="str">
        <f t="shared" si="0"/>
        <v>08-DEC</v>
      </c>
      <c r="H14" s="7" t="str">
        <f t="shared" si="1"/>
        <v>DE</v>
      </c>
      <c r="I14" s="7" t="str">
        <f t="shared" si="2"/>
        <v>Coffee Maker-Nespresso</v>
      </c>
    </row>
    <row r="15" spans="1:12" ht="15.75" customHeight="1" x14ac:dyDescent="0.25">
      <c r="A15" s="7" t="s">
        <v>45</v>
      </c>
      <c r="B15" s="7" t="s">
        <v>46</v>
      </c>
      <c r="C15" s="7" t="s">
        <v>47</v>
      </c>
      <c r="D15" s="8">
        <v>150</v>
      </c>
      <c r="E15" s="7">
        <v>15</v>
      </c>
      <c r="F15" s="7" t="s">
        <v>9</v>
      </c>
      <c r="G15" s="6" t="str">
        <f t="shared" si="0"/>
        <v>18-FEB</v>
      </c>
      <c r="H15" s="7" t="str">
        <f t="shared" si="1"/>
        <v>CA</v>
      </c>
      <c r="I15" s="7" t="str">
        <f t="shared" si="2"/>
        <v>Smartwatch-Fitbit</v>
      </c>
    </row>
    <row r="16" spans="1:12" ht="15.75" customHeight="1" x14ac:dyDescent="0.25">
      <c r="A16" s="4" t="s">
        <v>48</v>
      </c>
      <c r="B16" s="4" t="s">
        <v>26</v>
      </c>
      <c r="C16" s="4" t="s">
        <v>49</v>
      </c>
      <c r="D16" s="5">
        <v>250</v>
      </c>
      <c r="E16" s="4">
        <v>20</v>
      </c>
      <c r="F16" s="4" t="s">
        <v>9</v>
      </c>
      <c r="G16" s="6" t="str">
        <f t="shared" si="0"/>
        <v>16-APR</v>
      </c>
      <c r="H16" s="7" t="str">
        <f t="shared" si="1"/>
        <v>ES</v>
      </c>
      <c r="I16" s="7" t="str">
        <f t="shared" si="2"/>
        <v>Headphones-Bose</v>
      </c>
      <c r="L16" s="9"/>
    </row>
    <row r="17" spans="1:9" ht="15.75" customHeight="1" x14ac:dyDescent="0.25">
      <c r="A17" s="7" t="s">
        <v>50</v>
      </c>
      <c r="B17" s="7" t="s">
        <v>51</v>
      </c>
      <c r="C17" s="7" t="s">
        <v>52</v>
      </c>
      <c r="D17" s="8">
        <v>50</v>
      </c>
      <c r="E17" s="7">
        <v>35</v>
      </c>
      <c r="F17" s="7" t="s">
        <v>53</v>
      </c>
      <c r="G17" s="6" t="str">
        <f t="shared" si="0"/>
        <v>21-AUG</v>
      </c>
      <c r="H17" s="7" t="str">
        <f t="shared" si="1"/>
        <v>CA</v>
      </c>
      <c r="I17" s="7" t="str">
        <f t="shared" si="2"/>
        <v>Laptop Bag-Samsonite</v>
      </c>
    </row>
    <row r="18" spans="1:9" ht="15.75" customHeight="1" x14ac:dyDescent="0.25">
      <c r="A18" s="4" t="s">
        <v>54</v>
      </c>
      <c r="B18" s="4" t="s">
        <v>46</v>
      </c>
      <c r="C18" s="4" t="s">
        <v>55</v>
      </c>
      <c r="D18" s="5">
        <v>160</v>
      </c>
      <c r="E18" s="4">
        <v>15</v>
      </c>
      <c r="F18" s="4" t="s">
        <v>9</v>
      </c>
      <c r="G18" s="6" t="str">
        <f t="shared" si="0"/>
        <v>20-AUG</v>
      </c>
      <c r="H18" s="7" t="str">
        <f t="shared" si="1"/>
        <v>CN</v>
      </c>
      <c r="I18" s="7" t="str">
        <f t="shared" si="2"/>
        <v>Smartwatch-Huawei</v>
      </c>
    </row>
    <row r="19" spans="1:9" ht="15.75" customHeight="1" x14ac:dyDescent="0.25">
      <c r="A19" s="7" t="s">
        <v>56</v>
      </c>
      <c r="B19" s="7" t="s">
        <v>7</v>
      </c>
      <c r="C19" s="7" t="s">
        <v>57</v>
      </c>
      <c r="D19" s="8">
        <v>980</v>
      </c>
      <c r="E19" s="7">
        <v>10</v>
      </c>
      <c r="F19" s="7" t="s">
        <v>9</v>
      </c>
      <c r="G19" s="6" t="str">
        <f t="shared" si="0"/>
        <v>27-JAN</v>
      </c>
      <c r="H19" s="7" t="str">
        <f t="shared" si="1"/>
        <v>IT</v>
      </c>
      <c r="I19" s="7" t="str">
        <f t="shared" si="2"/>
        <v>Laptop-Asus</v>
      </c>
    </row>
    <row r="20" spans="1:9" ht="15.75" customHeight="1" x14ac:dyDescent="0.25">
      <c r="A20" s="4" t="s">
        <v>58</v>
      </c>
      <c r="B20" s="4" t="s">
        <v>59</v>
      </c>
      <c r="C20" s="4" t="s">
        <v>60</v>
      </c>
      <c r="D20" s="5">
        <v>150</v>
      </c>
      <c r="E20" s="4">
        <v>15</v>
      </c>
      <c r="F20" s="4" t="s">
        <v>13</v>
      </c>
      <c r="G20" s="6" t="str">
        <f t="shared" si="0"/>
        <v>01-MAR</v>
      </c>
      <c r="H20" s="7" t="str">
        <f t="shared" si="1"/>
        <v>UK</v>
      </c>
      <c r="I20" s="7" t="str">
        <f t="shared" si="2"/>
        <v>Sunglasses-Oakley</v>
      </c>
    </row>
    <row r="21" spans="1:9" ht="15.75" customHeight="1" x14ac:dyDescent="0.25">
      <c r="A21" s="7" t="s">
        <v>61</v>
      </c>
      <c r="B21" s="7" t="s">
        <v>62</v>
      </c>
      <c r="C21" s="7" t="s">
        <v>63</v>
      </c>
      <c r="D21" s="8">
        <v>200</v>
      </c>
      <c r="E21" s="7">
        <v>10</v>
      </c>
      <c r="F21" s="7" t="s">
        <v>24</v>
      </c>
      <c r="G21" s="6" t="str">
        <f t="shared" si="0"/>
        <v>14-AUG</v>
      </c>
      <c r="H21" s="7" t="str">
        <f t="shared" si="1"/>
        <v>US</v>
      </c>
      <c r="I21" s="7" t="str">
        <f t="shared" si="2"/>
        <v>Camping Tent-Coleman</v>
      </c>
    </row>
    <row r="22" spans="1:9" ht="15.75" customHeight="1" x14ac:dyDescent="0.25">
      <c r="A22" s="4" t="s">
        <v>64</v>
      </c>
      <c r="B22" s="4" t="s">
        <v>65</v>
      </c>
      <c r="C22" s="4" t="s">
        <v>66</v>
      </c>
      <c r="D22" s="5">
        <v>700</v>
      </c>
      <c r="E22" s="4">
        <v>50</v>
      </c>
      <c r="F22" s="4" t="s">
        <v>9</v>
      </c>
      <c r="G22" s="6" t="str">
        <f t="shared" si="0"/>
        <v>14-MAY</v>
      </c>
      <c r="H22" s="7" t="str">
        <f t="shared" si="1"/>
        <v>RU</v>
      </c>
      <c r="I22" s="7" t="str">
        <f t="shared" si="2"/>
        <v>Camera-Nikon</v>
      </c>
    </row>
    <row r="23" spans="1:9" ht="15.75" customHeight="1" x14ac:dyDescent="0.25">
      <c r="A23" s="7" t="s">
        <v>67</v>
      </c>
      <c r="B23" s="7" t="s">
        <v>68</v>
      </c>
      <c r="C23" s="7" t="s">
        <v>69</v>
      </c>
      <c r="D23" s="8">
        <v>80</v>
      </c>
      <c r="E23" s="7">
        <v>20</v>
      </c>
      <c r="F23" s="7" t="s">
        <v>17</v>
      </c>
      <c r="G23" s="6" t="str">
        <f t="shared" si="0"/>
        <v>09-JAN</v>
      </c>
      <c r="H23" s="7" t="str">
        <f t="shared" si="1"/>
        <v>CA</v>
      </c>
      <c r="I23" s="7" t="str">
        <f t="shared" si="2"/>
        <v>Microwave-Panasonic</v>
      </c>
    </row>
    <row r="24" spans="1:9" ht="15.75" customHeight="1" x14ac:dyDescent="0.25">
      <c r="A24" s="4" t="s">
        <v>70</v>
      </c>
      <c r="B24" s="4" t="s">
        <v>71</v>
      </c>
      <c r="C24" s="4" t="s">
        <v>72</v>
      </c>
      <c r="D24" s="5">
        <v>150</v>
      </c>
      <c r="E24" s="4">
        <v>30</v>
      </c>
      <c r="F24" s="4" t="s">
        <v>9</v>
      </c>
      <c r="G24" s="6" t="str">
        <f t="shared" si="0"/>
        <v>19-JUL</v>
      </c>
      <c r="H24" s="7" t="str">
        <f t="shared" si="1"/>
        <v>BR</v>
      </c>
      <c r="I24" s="7" t="str">
        <f t="shared" si="2"/>
        <v>Fitness Tracker-Xiaomi</v>
      </c>
    </row>
    <row r="25" spans="1:9" ht="15.75" customHeight="1" x14ac:dyDescent="0.25">
      <c r="A25" s="4" t="s">
        <v>73</v>
      </c>
      <c r="B25" s="4" t="s">
        <v>19</v>
      </c>
      <c r="C25" s="4" t="s">
        <v>74</v>
      </c>
      <c r="D25" s="5">
        <v>800</v>
      </c>
      <c r="E25" s="4">
        <v>45</v>
      </c>
      <c r="F25" s="4" t="s">
        <v>9</v>
      </c>
      <c r="G25" s="6" t="str">
        <f t="shared" si="0"/>
        <v>29-SEP</v>
      </c>
      <c r="H25" s="7" t="str">
        <f t="shared" si="1"/>
        <v>CA</v>
      </c>
      <c r="I25" s="7" t="str">
        <f t="shared" si="2"/>
        <v>Smartphone-Google</v>
      </c>
    </row>
    <row r="26" spans="1:9" ht="15.75" customHeight="1" x14ac:dyDescent="0.25">
      <c r="A26" s="7" t="s">
        <v>75</v>
      </c>
      <c r="B26" s="7" t="s">
        <v>59</v>
      </c>
      <c r="C26" s="7" t="s">
        <v>76</v>
      </c>
      <c r="D26" s="8">
        <v>130</v>
      </c>
      <c r="E26" s="7">
        <v>25</v>
      </c>
      <c r="F26" s="7" t="s">
        <v>13</v>
      </c>
      <c r="G26" s="6" t="str">
        <f t="shared" si="0"/>
        <v>03-JUN</v>
      </c>
      <c r="H26" s="7" t="str">
        <f t="shared" si="1"/>
        <v>CA</v>
      </c>
      <c r="I26" s="7" t="str">
        <f t="shared" si="2"/>
        <v>Sunglasses-Ray-Ban</v>
      </c>
    </row>
    <row r="27" spans="1:9" ht="15.75" customHeight="1" x14ac:dyDescent="0.25">
      <c r="A27" s="4" t="s">
        <v>77</v>
      </c>
      <c r="B27" s="4" t="s">
        <v>32</v>
      </c>
      <c r="C27" s="4" t="s">
        <v>78</v>
      </c>
      <c r="D27" s="5">
        <v>400</v>
      </c>
      <c r="E27" s="4">
        <v>40</v>
      </c>
      <c r="F27" s="4" t="s">
        <v>17</v>
      </c>
      <c r="G27" s="6" t="str">
        <f t="shared" si="0"/>
        <v>11-JUL</v>
      </c>
      <c r="H27" s="7" t="str">
        <f t="shared" si="1"/>
        <v>CA</v>
      </c>
      <c r="I27" s="7" t="str">
        <f t="shared" si="2"/>
        <v>Blender-Vitamix</v>
      </c>
    </row>
    <row r="28" spans="1:9" ht="15.75" customHeight="1" x14ac:dyDescent="0.25">
      <c r="A28" s="4" t="s">
        <v>79</v>
      </c>
      <c r="B28" s="4" t="s">
        <v>80</v>
      </c>
      <c r="C28" s="4" t="s">
        <v>81</v>
      </c>
      <c r="D28" s="5">
        <v>60</v>
      </c>
      <c r="E28" s="4">
        <v>30</v>
      </c>
      <c r="F28" s="4" t="s">
        <v>13</v>
      </c>
      <c r="G28" s="6" t="str">
        <f t="shared" si="0"/>
        <v>07-MAR</v>
      </c>
      <c r="H28" s="7" t="str">
        <f t="shared" si="1"/>
        <v>CA</v>
      </c>
      <c r="I28" s="7" t="str">
        <f t="shared" si="2"/>
        <v>Dress-Zara</v>
      </c>
    </row>
    <row r="29" spans="1:9" ht="15.75" customHeight="1" x14ac:dyDescent="0.25">
      <c r="A29" s="7" t="s">
        <v>82</v>
      </c>
      <c r="B29" s="7" t="s">
        <v>83</v>
      </c>
      <c r="C29" s="7" t="s">
        <v>84</v>
      </c>
      <c r="D29" s="8">
        <v>40</v>
      </c>
      <c r="E29" s="7">
        <v>10</v>
      </c>
      <c r="F29" s="7" t="s">
        <v>17</v>
      </c>
      <c r="G29" s="6" t="str">
        <f t="shared" si="0"/>
        <v>13-APR</v>
      </c>
      <c r="H29" s="7" t="str">
        <f t="shared" si="1"/>
        <v>CA</v>
      </c>
      <c r="I29" s="7" t="str">
        <f t="shared" si="2"/>
        <v>Toaster-Hamilton</v>
      </c>
    </row>
    <row r="30" spans="1:9" ht="15.75" customHeight="1" x14ac:dyDescent="0.25">
      <c r="A30" s="4" t="s">
        <v>85</v>
      </c>
      <c r="B30" s="4" t="s">
        <v>71</v>
      </c>
      <c r="C30" s="4" t="s">
        <v>86</v>
      </c>
      <c r="D30" s="5">
        <v>130</v>
      </c>
      <c r="E30" s="4">
        <v>5</v>
      </c>
      <c r="F30" s="4" t="s">
        <v>9</v>
      </c>
      <c r="G30" s="6" t="str">
        <f t="shared" si="0"/>
        <v>24-MAY</v>
      </c>
      <c r="H30" s="7" t="str">
        <f t="shared" si="1"/>
        <v>CA</v>
      </c>
      <c r="I30" s="7" t="str">
        <f t="shared" si="2"/>
        <v>Fitness Tracker-Garmin</v>
      </c>
    </row>
    <row r="31" spans="1:9" ht="15.75" customHeight="1" x14ac:dyDescent="0.25">
      <c r="A31" s="7" t="s">
        <v>87</v>
      </c>
      <c r="B31" s="7" t="s">
        <v>88</v>
      </c>
      <c r="C31" s="7" t="s">
        <v>89</v>
      </c>
      <c r="D31" s="8">
        <v>50</v>
      </c>
      <c r="E31" s="7">
        <v>50</v>
      </c>
      <c r="F31" s="7" t="s">
        <v>13</v>
      </c>
      <c r="G31" s="6" t="str">
        <f t="shared" si="0"/>
        <v>02-DEC</v>
      </c>
      <c r="H31" s="7" t="str">
        <f t="shared" si="1"/>
        <v>CA</v>
      </c>
      <c r="I31" s="7" t="str">
        <f t="shared" si="2"/>
        <v>Jeans-Levi's</v>
      </c>
    </row>
    <row r="32" spans="1:9" ht="15.75" customHeight="1" x14ac:dyDescent="0.25">
      <c r="A32" s="7" t="s">
        <v>90</v>
      </c>
      <c r="B32" s="7" t="s">
        <v>91</v>
      </c>
      <c r="C32" s="7" t="s">
        <v>92</v>
      </c>
      <c r="D32" s="8">
        <v>100</v>
      </c>
      <c r="E32" s="7">
        <v>20</v>
      </c>
      <c r="F32" s="7" t="s">
        <v>53</v>
      </c>
      <c r="G32" s="6" t="str">
        <f t="shared" si="0"/>
        <v>09-JUL</v>
      </c>
      <c r="H32" s="7" t="str">
        <f t="shared" si="1"/>
        <v>FR</v>
      </c>
      <c r="I32" s="7" t="str">
        <f t="shared" si="2"/>
        <v>Watch-Casio</v>
      </c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1" type="noConversion"/>
  <conditionalFormatting sqref="D1:D1048576">
    <cfRule type="dataBar" priority="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{88D5148C-115F-4765-8576-F51437FDCBF3}</x14:id>
        </ext>
      </extLst>
    </cfRule>
  </conditionalFormatting>
  <conditionalFormatting sqref="D2:D32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{E95FE46F-55D6-4F2A-9D85-EA09FFD34B9F}</x14:id>
        </ext>
      </extLst>
    </cfRule>
  </conditionalFormatting>
  <conditionalFormatting sqref="F2:F32">
    <cfRule type="cellIs" dxfId="5" priority="1" operator="equal">
      <formula>"Electronics"</formula>
    </cfRule>
    <cfRule type="cellIs" dxfId="4" priority="2" operator="equal">
      <formula>"Electronics"</formula>
    </cfRule>
  </conditionalFormatting>
  <conditionalFormatting sqref="N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D5148C-115F-4765-8576-F51437FDCBF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  <x14:conditionalFormatting xmlns:xm="http://schemas.microsoft.com/office/excel/2006/main">
          <x14:cfRule type="dataBar" id="{E95FE46F-55D6-4F2A-9D85-EA09FFD34B9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D2:D32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20664-1877-4716-AC40-63C09715CCA5}">
  <dimension ref="A1:G32"/>
  <sheetViews>
    <sheetView workbookViewId="0">
      <selection activeCell="J7" sqref="J7"/>
    </sheetView>
  </sheetViews>
  <sheetFormatPr defaultRowHeight="13.2" x14ac:dyDescent="0.25"/>
  <cols>
    <col min="1" max="1" width="14.77734375" bestFit="1" customWidth="1"/>
    <col min="2" max="2" width="20.77734375" bestFit="1" customWidth="1"/>
    <col min="3" max="3" width="18.21875" bestFit="1" customWidth="1"/>
    <col min="4" max="4" width="21.5546875" bestFit="1" customWidth="1"/>
    <col min="5" max="5" width="12.77734375" bestFit="1" customWidth="1"/>
    <col min="6" max="6" width="12.88671875" bestFit="1" customWidth="1"/>
    <col min="7" max="7" width="13.44140625" bestFit="1" customWidth="1"/>
  </cols>
  <sheetData>
    <row r="1" spans="1:7" x14ac:dyDescent="0.25">
      <c r="A1" s="10" t="s">
        <v>0</v>
      </c>
      <c r="B1" s="10" t="s">
        <v>93</v>
      </c>
      <c r="C1" s="10" t="s">
        <v>106</v>
      </c>
      <c r="D1" s="10" t="s">
        <v>107</v>
      </c>
      <c r="E1" s="10" t="s">
        <v>3</v>
      </c>
      <c r="F1" s="10" t="s">
        <v>4</v>
      </c>
      <c r="G1" s="10" t="s">
        <v>5</v>
      </c>
    </row>
    <row r="2" spans="1:7" x14ac:dyDescent="0.25">
      <c r="A2" s="10" t="s">
        <v>6</v>
      </c>
      <c r="B2" s="10" t="s">
        <v>108</v>
      </c>
      <c r="C2" s="10" t="s">
        <v>94</v>
      </c>
      <c r="D2" s="10" t="s">
        <v>138</v>
      </c>
      <c r="E2" s="10">
        <v>1000</v>
      </c>
      <c r="F2" s="10">
        <v>30</v>
      </c>
      <c r="G2" s="10" t="s">
        <v>9</v>
      </c>
    </row>
    <row r="3" spans="1:7" x14ac:dyDescent="0.25">
      <c r="A3" s="10" t="s">
        <v>10</v>
      </c>
      <c r="B3" s="10" t="s">
        <v>109</v>
      </c>
      <c r="C3" s="11" t="s">
        <v>94</v>
      </c>
      <c r="D3" s="10" t="s">
        <v>139</v>
      </c>
      <c r="E3" s="10">
        <v>80</v>
      </c>
      <c r="F3" s="10">
        <v>15</v>
      </c>
      <c r="G3" s="10" t="s">
        <v>13</v>
      </c>
    </row>
    <row r="4" spans="1:7" x14ac:dyDescent="0.25">
      <c r="A4" s="10" t="s">
        <v>14</v>
      </c>
      <c r="B4" s="10" t="s">
        <v>110</v>
      </c>
      <c r="C4" s="10" t="s">
        <v>94</v>
      </c>
      <c r="D4" s="10" t="s">
        <v>140</v>
      </c>
      <c r="E4" s="10">
        <v>130</v>
      </c>
      <c r="F4" s="10">
        <v>40</v>
      </c>
      <c r="G4" s="10" t="s">
        <v>17</v>
      </c>
    </row>
    <row r="5" spans="1:7" x14ac:dyDescent="0.25">
      <c r="A5" s="10" t="s">
        <v>18</v>
      </c>
      <c r="B5" s="10" t="s">
        <v>111</v>
      </c>
      <c r="C5" s="10" t="s">
        <v>94</v>
      </c>
      <c r="D5" s="10" t="s">
        <v>141</v>
      </c>
      <c r="E5" s="10">
        <v>900</v>
      </c>
      <c r="F5" s="10">
        <v>25</v>
      </c>
      <c r="G5" s="10" t="s">
        <v>9</v>
      </c>
    </row>
    <row r="6" spans="1:7" x14ac:dyDescent="0.25">
      <c r="A6" s="10" t="s">
        <v>21</v>
      </c>
      <c r="B6" s="10" t="s">
        <v>112</v>
      </c>
      <c r="C6" s="10" t="s">
        <v>94</v>
      </c>
      <c r="D6" s="10" t="s">
        <v>142</v>
      </c>
      <c r="E6" s="10">
        <v>70</v>
      </c>
      <c r="F6" s="10">
        <v>20</v>
      </c>
      <c r="G6" s="10" t="s">
        <v>24</v>
      </c>
    </row>
    <row r="7" spans="1:7" x14ac:dyDescent="0.25">
      <c r="A7" s="10" t="s">
        <v>25</v>
      </c>
      <c r="B7" s="10" t="s">
        <v>113</v>
      </c>
      <c r="C7" s="10" t="s">
        <v>95</v>
      </c>
      <c r="D7" s="10" t="s">
        <v>143</v>
      </c>
      <c r="E7" s="10">
        <v>200</v>
      </c>
      <c r="F7" s="10">
        <v>45</v>
      </c>
      <c r="G7" s="10" t="s">
        <v>9</v>
      </c>
    </row>
    <row r="8" spans="1:7" x14ac:dyDescent="0.25">
      <c r="A8" s="10" t="s">
        <v>28</v>
      </c>
      <c r="B8" s="10" t="s">
        <v>114</v>
      </c>
      <c r="C8" s="10" t="s">
        <v>95</v>
      </c>
      <c r="D8" s="10" t="s">
        <v>144</v>
      </c>
      <c r="E8" s="10">
        <v>30</v>
      </c>
      <c r="F8" s="10">
        <v>5</v>
      </c>
      <c r="G8" s="10" t="s">
        <v>13</v>
      </c>
    </row>
    <row r="9" spans="1:7" x14ac:dyDescent="0.25">
      <c r="A9" s="10" t="s">
        <v>31</v>
      </c>
      <c r="B9" s="10" t="s">
        <v>115</v>
      </c>
      <c r="C9" s="10" t="s">
        <v>95</v>
      </c>
      <c r="D9" s="10" t="s">
        <v>145</v>
      </c>
      <c r="E9" s="10">
        <v>90</v>
      </c>
      <c r="F9" s="10">
        <v>35</v>
      </c>
      <c r="G9" s="10" t="s">
        <v>17</v>
      </c>
    </row>
    <row r="10" spans="1:7" x14ac:dyDescent="0.25">
      <c r="A10" s="10" t="s">
        <v>34</v>
      </c>
      <c r="B10" s="10" t="s">
        <v>116</v>
      </c>
      <c r="C10" s="10" t="s">
        <v>95</v>
      </c>
      <c r="D10" s="10" t="s">
        <v>146</v>
      </c>
      <c r="E10" s="10">
        <v>500</v>
      </c>
      <c r="F10" s="10">
        <v>50</v>
      </c>
      <c r="G10" s="10" t="s">
        <v>9</v>
      </c>
    </row>
    <row r="11" spans="1:7" x14ac:dyDescent="0.25">
      <c r="A11" s="10" t="s">
        <v>37</v>
      </c>
      <c r="B11" s="10" t="s">
        <v>117</v>
      </c>
      <c r="C11" s="10" t="s">
        <v>95</v>
      </c>
      <c r="D11" s="10" t="s">
        <v>147</v>
      </c>
      <c r="E11" s="10">
        <v>130</v>
      </c>
      <c r="F11" s="10">
        <v>10</v>
      </c>
      <c r="G11" s="10" t="s">
        <v>24</v>
      </c>
    </row>
    <row r="12" spans="1:7" x14ac:dyDescent="0.25">
      <c r="A12" s="10" t="s">
        <v>40</v>
      </c>
      <c r="B12" s="10" t="s">
        <v>118</v>
      </c>
      <c r="C12" s="10" t="s">
        <v>96</v>
      </c>
      <c r="D12" s="10" t="s">
        <v>148</v>
      </c>
      <c r="E12" s="10">
        <v>950</v>
      </c>
      <c r="F12" s="10">
        <v>25</v>
      </c>
      <c r="G12" s="10" t="s">
        <v>9</v>
      </c>
    </row>
    <row r="13" spans="1:7" x14ac:dyDescent="0.25">
      <c r="A13" s="10" t="s">
        <v>42</v>
      </c>
      <c r="B13" s="10" t="s">
        <v>119</v>
      </c>
      <c r="C13" s="10" t="s">
        <v>97</v>
      </c>
      <c r="D13" s="10" t="s">
        <v>149</v>
      </c>
      <c r="E13" s="10">
        <v>90</v>
      </c>
      <c r="F13" s="10">
        <v>40</v>
      </c>
      <c r="G13" s="10" t="s">
        <v>13</v>
      </c>
    </row>
    <row r="14" spans="1:7" x14ac:dyDescent="0.25">
      <c r="A14" s="10" t="s">
        <v>43</v>
      </c>
      <c r="B14" s="10" t="s">
        <v>120</v>
      </c>
      <c r="C14" s="10" t="s">
        <v>98</v>
      </c>
      <c r="D14" s="10" t="s">
        <v>150</v>
      </c>
      <c r="E14" s="10">
        <v>120</v>
      </c>
      <c r="F14" s="10">
        <v>35</v>
      </c>
      <c r="G14" s="10" t="s">
        <v>17</v>
      </c>
    </row>
    <row r="15" spans="1:7" x14ac:dyDescent="0.25">
      <c r="A15" s="10" t="s">
        <v>45</v>
      </c>
      <c r="B15" s="10" t="s">
        <v>121</v>
      </c>
      <c r="C15" s="10" t="s">
        <v>99</v>
      </c>
      <c r="D15" s="10" t="s">
        <v>151</v>
      </c>
      <c r="E15" s="10">
        <v>150</v>
      </c>
      <c r="F15" s="10">
        <v>15</v>
      </c>
      <c r="G15" s="10" t="s">
        <v>9</v>
      </c>
    </row>
    <row r="16" spans="1:7" x14ac:dyDescent="0.25">
      <c r="A16" s="10" t="s">
        <v>48</v>
      </c>
      <c r="B16" s="10" t="s">
        <v>122</v>
      </c>
      <c r="C16" s="10" t="s">
        <v>100</v>
      </c>
      <c r="D16" s="10" t="s">
        <v>152</v>
      </c>
      <c r="E16" s="10">
        <v>250</v>
      </c>
      <c r="F16" s="10">
        <v>20</v>
      </c>
      <c r="G16" s="10" t="s">
        <v>9</v>
      </c>
    </row>
    <row r="17" spans="1:7" x14ac:dyDescent="0.25">
      <c r="A17" s="10" t="s">
        <v>50</v>
      </c>
      <c r="B17" s="10" t="s">
        <v>123</v>
      </c>
      <c r="C17" s="10" t="s">
        <v>99</v>
      </c>
      <c r="D17" s="10" t="s">
        <v>153</v>
      </c>
      <c r="E17" s="10">
        <v>50</v>
      </c>
      <c r="F17" s="10">
        <v>35</v>
      </c>
      <c r="G17" s="10" t="s">
        <v>53</v>
      </c>
    </row>
    <row r="18" spans="1:7" x14ac:dyDescent="0.25">
      <c r="A18" s="10" t="s">
        <v>54</v>
      </c>
      <c r="B18" s="10" t="s">
        <v>124</v>
      </c>
      <c r="C18" s="10" t="s">
        <v>101</v>
      </c>
      <c r="D18" s="10" t="s">
        <v>154</v>
      </c>
      <c r="E18" s="10">
        <v>160</v>
      </c>
      <c r="F18" s="10">
        <v>15</v>
      </c>
      <c r="G18" s="10" t="s">
        <v>9</v>
      </c>
    </row>
    <row r="19" spans="1:7" x14ac:dyDescent="0.25">
      <c r="A19" s="10" t="s">
        <v>56</v>
      </c>
      <c r="B19" s="10" t="s">
        <v>125</v>
      </c>
      <c r="C19" s="10" t="s">
        <v>102</v>
      </c>
      <c r="D19" s="10" t="s">
        <v>155</v>
      </c>
      <c r="E19" s="10">
        <v>980</v>
      </c>
      <c r="F19" s="10">
        <v>10</v>
      </c>
      <c r="G19" s="10" t="s">
        <v>9</v>
      </c>
    </row>
    <row r="20" spans="1:7" x14ac:dyDescent="0.25">
      <c r="A20" s="10" t="s">
        <v>58</v>
      </c>
      <c r="B20" s="10" t="s">
        <v>126</v>
      </c>
      <c r="C20" s="10" t="s">
        <v>95</v>
      </c>
      <c r="D20" s="10" t="s">
        <v>156</v>
      </c>
      <c r="E20" s="10">
        <v>150</v>
      </c>
      <c r="F20" s="10">
        <v>15</v>
      </c>
      <c r="G20" s="10" t="s">
        <v>13</v>
      </c>
    </row>
    <row r="21" spans="1:7" x14ac:dyDescent="0.25">
      <c r="A21" s="10" t="s">
        <v>61</v>
      </c>
      <c r="B21" s="10" t="s">
        <v>127</v>
      </c>
      <c r="C21" s="10" t="s">
        <v>94</v>
      </c>
      <c r="D21" s="10" t="s">
        <v>157</v>
      </c>
      <c r="E21" s="10">
        <v>200</v>
      </c>
      <c r="F21" s="10">
        <v>10</v>
      </c>
      <c r="G21" s="10" t="s">
        <v>24</v>
      </c>
    </row>
    <row r="22" spans="1:7" x14ac:dyDescent="0.25">
      <c r="A22" s="10" t="s">
        <v>64</v>
      </c>
      <c r="B22" s="10" t="s">
        <v>128</v>
      </c>
      <c r="C22" s="10" t="s">
        <v>103</v>
      </c>
      <c r="D22" s="10" t="s">
        <v>158</v>
      </c>
      <c r="E22" s="10">
        <v>700</v>
      </c>
      <c r="F22" s="10">
        <v>50</v>
      </c>
      <c r="G22" s="10" t="s">
        <v>9</v>
      </c>
    </row>
    <row r="23" spans="1:7" x14ac:dyDescent="0.25">
      <c r="A23" s="10" t="s">
        <v>67</v>
      </c>
      <c r="B23" s="10" t="s">
        <v>129</v>
      </c>
      <c r="C23" s="10" t="s">
        <v>99</v>
      </c>
      <c r="D23" s="10" t="s">
        <v>159</v>
      </c>
      <c r="E23" s="10">
        <v>80</v>
      </c>
      <c r="F23" s="10">
        <v>20</v>
      </c>
      <c r="G23" s="10" t="s">
        <v>17</v>
      </c>
    </row>
    <row r="24" spans="1:7" x14ac:dyDescent="0.25">
      <c r="A24" s="10" t="s">
        <v>70</v>
      </c>
      <c r="B24" s="10" t="s">
        <v>114</v>
      </c>
      <c r="C24" s="10" t="s">
        <v>104</v>
      </c>
      <c r="D24" s="10" t="s">
        <v>160</v>
      </c>
      <c r="E24" s="10">
        <v>150</v>
      </c>
      <c r="F24" s="10">
        <v>30</v>
      </c>
      <c r="G24" s="10" t="s">
        <v>9</v>
      </c>
    </row>
    <row r="25" spans="1:7" x14ac:dyDescent="0.25">
      <c r="A25" s="10" t="s">
        <v>73</v>
      </c>
      <c r="B25" s="10" t="s">
        <v>130</v>
      </c>
      <c r="C25" s="10" t="s">
        <v>99</v>
      </c>
      <c r="D25" s="10" t="s">
        <v>161</v>
      </c>
      <c r="E25" s="10">
        <v>800</v>
      </c>
      <c r="F25" s="10">
        <v>45</v>
      </c>
      <c r="G25" s="10" t="s">
        <v>9</v>
      </c>
    </row>
    <row r="26" spans="1:7" x14ac:dyDescent="0.25">
      <c r="A26" s="10" t="s">
        <v>75</v>
      </c>
      <c r="B26" s="10" t="s">
        <v>131</v>
      </c>
      <c r="C26" s="10" t="s">
        <v>99</v>
      </c>
      <c r="D26" s="10" t="s">
        <v>162</v>
      </c>
      <c r="E26" s="10">
        <v>130</v>
      </c>
      <c r="F26" s="10">
        <v>25</v>
      </c>
      <c r="G26" s="10" t="s">
        <v>13</v>
      </c>
    </row>
    <row r="27" spans="1:7" x14ac:dyDescent="0.25">
      <c r="A27" s="10" t="s">
        <v>77</v>
      </c>
      <c r="B27" s="10" t="s">
        <v>132</v>
      </c>
      <c r="C27" s="10" t="s">
        <v>99</v>
      </c>
      <c r="D27" s="10" t="s">
        <v>163</v>
      </c>
      <c r="E27" s="10">
        <v>400</v>
      </c>
      <c r="F27" s="10">
        <v>40</v>
      </c>
      <c r="G27" s="10" t="s">
        <v>17</v>
      </c>
    </row>
    <row r="28" spans="1:7" x14ac:dyDescent="0.25">
      <c r="A28" s="10" t="s">
        <v>79</v>
      </c>
      <c r="B28" s="10" t="s">
        <v>133</v>
      </c>
      <c r="C28" s="10" t="s">
        <v>99</v>
      </c>
      <c r="D28" s="10" t="s">
        <v>164</v>
      </c>
      <c r="E28" s="10">
        <v>60</v>
      </c>
      <c r="F28" s="10">
        <v>30</v>
      </c>
      <c r="G28" s="10" t="s">
        <v>13</v>
      </c>
    </row>
    <row r="29" spans="1:7" x14ac:dyDescent="0.25">
      <c r="A29" s="10" t="s">
        <v>82</v>
      </c>
      <c r="B29" s="10" t="s">
        <v>134</v>
      </c>
      <c r="C29" s="10" t="s">
        <v>99</v>
      </c>
      <c r="D29" s="10" t="s">
        <v>165</v>
      </c>
      <c r="E29" s="10">
        <v>40</v>
      </c>
      <c r="F29" s="10">
        <v>10</v>
      </c>
      <c r="G29" s="10" t="s">
        <v>17</v>
      </c>
    </row>
    <row r="30" spans="1:7" x14ac:dyDescent="0.25">
      <c r="A30" s="10" t="s">
        <v>85</v>
      </c>
      <c r="B30" s="10" t="s">
        <v>135</v>
      </c>
      <c r="C30" s="10" t="s">
        <v>99</v>
      </c>
      <c r="D30" s="10" t="s">
        <v>166</v>
      </c>
      <c r="E30" s="10">
        <v>130</v>
      </c>
      <c r="F30" s="10">
        <v>5</v>
      </c>
      <c r="G30" s="10" t="s">
        <v>9</v>
      </c>
    </row>
    <row r="31" spans="1:7" x14ac:dyDescent="0.25">
      <c r="A31" s="10" t="s">
        <v>87</v>
      </c>
      <c r="B31" s="10" t="s">
        <v>136</v>
      </c>
      <c r="C31" s="10" t="s">
        <v>99</v>
      </c>
      <c r="D31" s="10" t="s">
        <v>167</v>
      </c>
      <c r="E31" s="10">
        <v>50</v>
      </c>
      <c r="F31" s="10">
        <v>50</v>
      </c>
      <c r="G31" s="10" t="s">
        <v>13</v>
      </c>
    </row>
    <row r="32" spans="1:7" x14ac:dyDescent="0.25">
      <c r="A32" s="10" t="s">
        <v>90</v>
      </c>
      <c r="B32" s="10" t="s">
        <v>137</v>
      </c>
      <c r="C32" s="10" t="s">
        <v>105</v>
      </c>
      <c r="D32" s="10" t="s">
        <v>168</v>
      </c>
      <c r="E32" s="10">
        <v>100</v>
      </c>
      <c r="F32" s="10">
        <v>20</v>
      </c>
      <c r="G32" s="10" t="s">
        <v>53</v>
      </c>
    </row>
  </sheetData>
  <conditionalFormatting sqref="E1:E104857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{37EC4335-441B-4C78-89B2-905C4E19BC06}</x14:id>
        </ext>
      </extLst>
    </cfRule>
  </conditionalFormatting>
  <conditionalFormatting sqref="G1:G1048576">
    <cfRule type="cellIs" dxfId="3" priority="3" operator="equal">
      <formula>"Electronics"</formula>
    </cfRule>
    <cfRule type="cellIs" dxfId="2" priority="4" operator="equal">
      <formula>"Electronics"</formula>
    </cfRule>
  </conditionalFormatting>
  <conditionalFormatting sqref="G1:H1048576">
    <cfRule type="cellIs" dxfId="1" priority="1" operator="equal">
      <formula>"Electronics"</formula>
    </cfRule>
    <cfRule type="cellIs" dxfId="0" priority="2" operator="equal">
      <formula>"Electronics"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EC4335-441B-4C78-89B2-905C4E19BC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B8994-19E5-42C7-9E7D-E9920C83E2E0}">
  <dimension ref="C3:O13"/>
  <sheetViews>
    <sheetView tabSelected="1" workbookViewId="0">
      <selection activeCell="I24" sqref="I24"/>
    </sheetView>
  </sheetViews>
  <sheetFormatPr defaultRowHeight="13.2" x14ac:dyDescent="0.25"/>
  <sheetData>
    <row r="3" spans="3:15" x14ac:dyDescent="0.25">
      <c r="C3" s="12" t="s">
        <v>169</v>
      </c>
    </row>
    <row r="5" spans="3:15" x14ac:dyDescent="0.25">
      <c r="C5" s="13" t="s">
        <v>170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3:15" x14ac:dyDescent="0.25">
      <c r="C6" s="13" t="s">
        <v>171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</row>
    <row r="7" spans="3:15" x14ac:dyDescent="0.25">
      <c r="C7" s="13" t="s">
        <v>172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</row>
    <row r="8" spans="3:15" x14ac:dyDescent="0.25">
      <c r="C8" s="13" t="s">
        <v>173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</row>
    <row r="9" spans="3:15" x14ac:dyDescent="0.25">
      <c r="C9" s="13" t="s">
        <v>174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3:15" x14ac:dyDescent="0.25">
      <c r="C10" s="14" t="s">
        <v>175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3:15" x14ac:dyDescent="0.25">
      <c r="C11" s="15"/>
      <c r="D11" s="16" t="s">
        <v>176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</row>
    <row r="12" spans="3:15" x14ac:dyDescent="0.25">
      <c r="C12" s="13"/>
      <c r="D12" s="15" t="s">
        <v>177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spans="3:15" x14ac:dyDescent="0.25"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Dataset cleaned</vt:lpstr>
      <vt:lpstr>observation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RAJASHREE KANNAYERAM</dc:creator>
  <cp:lastModifiedBy>jaya98.1000@gmail.com</cp:lastModifiedBy>
  <dcterms:created xsi:type="dcterms:W3CDTF">2026-06-29T09:36:40Z</dcterms:created>
  <dcterms:modified xsi:type="dcterms:W3CDTF">2026-07-02T15:01:38Z</dcterms:modified>
</cp:coreProperties>
</file>